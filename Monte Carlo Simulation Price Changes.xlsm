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cliveac-my.sharepoint.com/personal/aje98_uclive_ac_nz/Documents/Documents/Projects/"/>
    </mc:Choice>
  </mc:AlternateContent>
  <xr:revisionPtr revIDLastSave="4272" documentId="14_{23A4244A-D908-4478-97EF-165624BFA836}" xr6:coauthVersionLast="47" xr6:coauthVersionMax="47" xr10:uidLastSave="{F24E9952-32A9-4C38-A56C-8131946D6395}"/>
  <bookViews>
    <workbookView minimized="1" xWindow="690" yWindow="975" windowWidth="15375" windowHeight="7785" xr2:uid="{5D8024F1-1768-4107-9961-38D790CA404A}"/>
  </bookViews>
  <sheets>
    <sheet name="info" sheetId="3" r:id="rId1"/>
    <sheet name="simulation" sheetId="2" r:id="rId2"/>
  </sheets>
  <definedNames>
    <definedName name="_xlpm.current" hidden="1" xlm="1">#NAME?</definedName>
    <definedName name="_xlpm.prev" hidden="1" xlm="1">#NAME?</definedName>
    <definedName name="ExternalData_1" localSheetId="1" hidden="1">simulation!$A$2:$D$254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simulation!$L$7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L8" i="2"/>
  <c r="I2" i="2" a="1"/>
  <c r="I3" i="2" l="1"/>
  <c r="I4" i="2"/>
  <c r="L9" i="2"/>
  <c r="I2" i="2"/>
  <c r="L10" i="2" l="1"/>
  <c r="L11" i="2" s="1"/>
  <c r="L12" i="2" l="1"/>
  <c r="L13" i="2" l="1"/>
  <c r="L14" i="2" l="1"/>
  <c r="L15" i="2" l="1"/>
  <c r="L16" i="2" l="1"/>
  <c r="L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Alexander Jefferies</author>
  </authors>
  <commentList>
    <comment ref="L4" authorId="0" shapeId="0" xr:uid="{0A505E31-D04F-4CE0-8854-9931A6EBA0C5}">
      <text>
        <r>
          <rPr>
            <b/>
            <sz val="9"/>
            <color indexed="81"/>
            <rFont val="Tahoma"/>
            <family val="2"/>
          </rPr>
          <t>Alexander Jefferies:</t>
        </r>
        <r>
          <rPr>
            <sz val="9"/>
            <color indexed="81"/>
            <rFont val="Tahoma"/>
            <family val="2"/>
          </rPr>
          <t xml:space="preserve">
Modify as required. Tends to max out application at 10,000
</t>
        </r>
      </text>
    </comment>
    <comment ref="I5" authorId="0" shapeId="0" xr:uid="{D84D9F16-3824-47B4-B105-268CB43B91AE}">
      <text>
        <r>
          <rPr>
            <b/>
            <sz val="9"/>
            <color indexed="81"/>
            <rFont val="Tahoma"/>
            <family val="2"/>
          </rPr>
          <t>Alexander Jefferies:</t>
        </r>
        <r>
          <rPr>
            <sz val="9"/>
            <color indexed="81"/>
            <rFont val="Tahoma"/>
            <family val="2"/>
          </rPr>
          <t xml:space="preserve">
Modify as desired</t>
        </r>
      </text>
    </comment>
    <comment ref="L5" authorId="0" shapeId="0" xr:uid="{42128CBF-30BD-4DBD-B56B-FF63C6C01CE8}">
      <text>
        <r>
          <rPr>
            <b/>
            <sz val="9"/>
            <color indexed="81"/>
            <rFont val="Tahoma"/>
            <family val="2"/>
          </rPr>
          <t>Alexander Jefferies:</t>
        </r>
        <r>
          <rPr>
            <sz val="9"/>
            <color indexed="81"/>
            <rFont val="Tahoma"/>
            <family val="2"/>
          </rPr>
          <t xml:space="preserve">
Modify as required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86B0A5-6F41-40CC-B0E1-C09ECC6ED954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2" xr16:uid="{F63DD982-3E02-43FB-A5FF-8DE3D46EFA95}" keepAlive="1" name="Query - Dates" description="Connection to the 'Dates' query in the workbook." type="5" refreshedVersion="0" background="1">
    <dbPr connection="Provider=Microsoft.Mashup.OleDb.1;Data Source=$Workbook$;Location=Dates;Extended Properties=&quot;&quot;" command="SELECT * FROM [Dates]"/>
  </connection>
  <connection id="3" xr16:uid="{AA581C5E-BF92-46F6-B699-98B856F0CA0C}" keepAlive="1" name="Query - Price Data" description="Connection to the 'Price Data' query in the workbook." type="5" refreshedVersion="8" background="1" saveData="1">
    <dbPr connection="Provider=Microsoft.Mashup.OleDb.1;Data Source=$Workbook$;Location=&quot;Price Data&quot;;Extended Properties=&quot;&quot;" command="SELECT * FROM [Price Data]"/>
  </connection>
  <connection id="4" xr16:uid="{85823BE7-0EBD-4425-802E-55EB40CDBAF5}" keepAlive="1" name="Query - Prices" description="Connection to the 'Prices' query in the workbook." type="5" refreshedVersion="0" background="1">
    <dbPr connection="Provider=Microsoft.Mashup.OleDb.1;Data Source=$Workbook$;Location=Prices;Extended Properties=&quot;&quot;" command="SELECT * FROM [Prices]"/>
  </connection>
  <connection id="5" xr16:uid="{004985E3-2709-44F0-AF43-593B5A390F36}" keepAlive="1" name="Query - Stock Symbol" description="Connection to the 'Stock Symbol' query in the workbook." type="5" refreshedVersion="0" background="1">
    <dbPr connection="Provider=Microsoft.Mashup.OleDb.1;Data Source=$Workbook$;Location=&quot;Stock Symbol&quot;;Extended Properties=&quot;&quot;" command="SELECT * FROM [Stock Symbo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<sst xmlns="http://schemas.openxmlformats.org/spreadsheetml/2006/main" count="294" uniqueCount="43">
  <si>
    <t>Current Price</t>
  </si>
  <si>
    <t>Date</t>
  </si>
  <si>
    <t>Close Price</t>
  </si>
  <si>
    <t>^GSPC</t>
  </si>
  <si>
    <t>Value.result.meta.symbol</t>
  </si>
  <si>
    <t>Index</t>
  </si>
  <si>
    <t>Geometric Brownian Motion</t>
  </si>
  <si>
    <t xml:space="preserve"> S × (μΔt + σϵ Δt)</t>
  </si>
  <si>
    <t>Price Change</t>
  </si>
  <si>
    <t>N trials</t>
  </si>
  <si>
    <t>Frequency</t>
  </si>
  <si>
    <t>Probability</t>
  </si>
  <si>
    <t>Bin</t>
  </si>
  <si>
    <t>% Change</t>
  </si>
  <si>
    <t>N Bins</t>
  </si>
  <si>
    <t>Delta t (Days)</t>
  </si>
  <si>
    <t>Cum Prob</t>
  </si>
  <si>
    <t>Summary</t>
  </si>
  <si>
    <t>Improve the format of the results by displaying the probability ditribution and calculating confidence intervals.</t>
  </si>
  <si>
    <t>This spreadsheet is performs monte-carlo simulation on historic price data in order to inform the risk of a given investment.</t>
  </si>
  <si>
    <t>% Returns</t>
  </si>
  <si>
    <t xml:space="preserve">Expected Rate of (log) Return </t>
  </si>
  <si>
    <t>Standard devation of returns</t>
  </si>
  <si>
    <t>0.903 To 0.92</t>
  </si>
  <si>
    <t>0.92 To 0.937</t>
  </si>
  <si>
    <t>0.937 To 0.954</t>
  </si>
  <si>
    <t>0.954 To 0.972</t>
  </si>
  <si>
    <t>0.972 To 0.99</t>
  </si>
  <si>
    <t>0.99 To 1.008</t>
  </si>
  <si>
    <t>1.008 To 1.027</t>
  </si>
  <si>
    <t>1.027 To 1.046</t>
  </si>
  <si>
    <t>1.046 To 1.066</t>
  </si>
  <si>
    <t>1.066 To 1.086</t>
  </si>
  <si>
    <t>Approximately 40% Chance of Positive Returns</t>
  </si>
  <si>
    <t>Approximately 10% Chance of Retruns higher than 6.6%</t>
  </si>
  <si>
    <t>Features</t>
  </si>
  <si>
    <t>Features to Add</t>
  </si>
  <si>
    <t>Generalize the data extraction process to include specified codes</t>
  </si>
  <si>
    <r>
      <t>Data</t>
    </r>
    <r>
      <rPr>
        <sz val="11"/>
        <color theme="1"/>
        <rFont val="Aptos Narrow"/>
        <family val="2"/>
        <scheme val="minor"/>
      </rPr>
      <t xml:space="preserve"> obtained from yahoo finance via api endpoint for the SNP 500.</t>
    </r>
    <r>
      <rPr>
        <sz val="11"/>
        <color theme="1"/>
        <rFont val="Aptos Narrow"/>
        <family val="2"/>
        <scheme val="minor"/>
      </rPr>
      <t xml:space="preserve"> Transformed in Power Query.</t>
    </r>
  </si>
  <si>
    <t>Simulation of Monte Carlo events coded in VBA. Uses parameters specified in the spreadsheet. Outputs the results of the Monte Carlo simulation in bins.</t>
  </si>
  <si>
    <t>Generalize the summary section to write outputted results for any simulation.</t>
  </si>
  <si>
    <t>The equation modelled is geometric brownian motion, used to describe the stochastic behavior of a variable.</t>
  </si>
  <si>
    <t>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</si>
</sst>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7" formatCode="0.0000"/>
    <numFmt numFmtId="172" formatCode="_-* #,##0.0000_-;\-* #,##0.0000_-;_-* &quot;-&quot;??_-;_-@_-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9" fontId="0" fillId="0" borderId="0" xfId="3" applyFont="1"/>
    <xf numFmtId="10" fontId="0" fillId="0" borderId="0" xfId="3" applyNumberFormat="1" applyFont="1"/>
    <xf numFmtId="44" fontId="0" fillId="0" borderId="0" xfId="2" applyFont="1"/>
    <xf numFmtId="164" fontId="0" fillId="0" borderId="0" xfId="1" applyNumberFormat="1" applyFont="1"/>
    <xf numFmtId="2" fontId="0" fillId="0" borderId="0" xfId="0" applyNumberFormat="1"/>
    <xf numFmtId="43" fontId="0" fillId="0" borderId="0" xfId="1" applyFont="1"/>
    <xf numFmtId="0" fontId="0" fillId="0" borderId="0" xfId="0" applyNumberFormat="1"/>
    <xf numFmtId="0" fontId="3" fillId="0" borderId="0" xfId="0" applyFont="1"/>
    <xf numFmtId="3" fontId="0" fillId="0" borderId="0" xfId="0" applyNumberFormat="1"/>
    <xf numFmtId="167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43" fontId="3" fillId="0" borderId="0" xfId="1" applyFont="1"/>
    <xf numFmtId="43" fontId="0" fillId="0" borderId="0" xfId="3" applyNumberFormat="1" applyFont="1"/>
    <xf numFmtId="0" fontId="3" fillId="2" borderId="0" xfId="0" applyFont="1" applyFill="1"/>
    <xf numFmtId="0" fontId="0" fillId="2" borderId="0" xfId="0" applyFill="1"/>
    <xf numFmtId="43" fontId="0" fillId="0" borderId="0" xfId="3" applyNumberFormat="1" applyFont="1" applyAlignment="1">
      <alignment horizontal="left"/>
    </xf>
    <xf numFmtId="0" fontId="3" fillId="0" borderId="0" xfId="0" applyFont="1" applyAlignment="1">
      <alignment wrapText="1"/>
    </xf>
    <xf numFmtId="172" fontId="0" fillId="0" borderId="0" xfId="1" applyNumberFormat="1" applyFont="1"/>
    <xf numFmtId="43" fontId="0" fillId="0" borderId="0" xfId="0" applyNumberFormat="1"/>
    <xf numFmtId="0" fontId="0" fillId="0" borderId="0" xfId="0" applyFont="1" applyAlignment="1">
      <alignment wrapTex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5">
    <dxf>
      <numFmt numFmtId="14" formatCode="0.00%"/>
    </dxf>
    <dxf>
      <numFmt numFmtId="164" formatCode="#,##0.00_ ;[Red]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7" formatCode="d/mm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connections" Target="connections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of Returns (Binned)</a:t>
            </a:r>
          </a:p>
        </c:rich>
      </c:tx>
      <c:layout>
        <c:manualLayout>
          <c:xMode val="edge"/>
          <c:yMode val="edge"/>
          <c:x val="0.248242214722787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simulation!$J$7</c:f>
              <c:strCache>
                <c:ptCount val="1"/>
                <c:pt idx="0">
                  <c:v>Frequency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simulation!$I$8:$I$17</c:f>
              <c:strCache>
                <c:ptCount val="10"/>
                <c:pt idx="0">
                  <c:v>0.903 To 0.92</c:v>
                </c:pt>
                <c:pt idx="1">
                  <c:v>0.92 To 0.937</c:v>
                </c:pt>
                <c:pt idx="2">
                  <c:v>0.937 To 0.954</c:v>
                </c:pt>
                <c:pt idx="3">
                  <c:v>0.954 To 0.972</c:v>
                </c:pt>
                <c:pt idx="4">
                  <c:v>0.972 To 0.99</c:v>
                </c:pt>
                <c:pt idx="5">
                  <c:v>0.99 To 1.008</c:v>
                </c:pt>
                <c:pt idx="6">
                  <c:v>1.008 To 1.027</c:v>
                </c:pt>
                <c:pt idx="7">
                  <c:v>1.027 To 1.046</c:v>
                </c:pt>
                <c:pt idx="8">
                  <c:v>1.046 To 1.066</c:v>
                </c:pt>
                <c:pt idx="9">
                  <c:v>1.066 To 1.086</c:v>
                </c:pt>
              </c:strCache>
            </c:strRef>
          </c:cat>
          <c:val>
            <c:numRef>
              <c:f>simulation!$J$8:$J$17</c:f>
              <c:numCache>
                <c:formatCode>#,##0</c:formatCode>
                <c:ptCount val="10"/>
                <c:pt idx="0">
                  <c:v>1015</c:v>
                </c:pt>
                <c:pt idx="1">
                  <c:v>974</c:v>
                </c:pt>
                <c:pt idx="2">
                  <c:v>999</c:v>
                </c:pt>
                <c:pt idx="3">
                  <c:v>1030</c:v>
                </c:pt>
                <c:pt idx="4">
                  <c:v>1021</c:v>
                </c:pt>
                <c:pt idx="5">
                  <c:v>980</c:v>
                </c:pt>
                <c:pt idx="6">
                  <c:v>972</c:v>
                </c:pt>
                <c:pt idx="7">
                  <c:v>1057</c:v>
                </c:pt>
                <c:pt idx="8">
                  <c:v>947</c:v>
                </c:pt>
                <c:pt idx="9">
                  <c:v>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3-45F1-97E3-F1FEDABB8A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43270735"/>
        <c:axId val="243272655"/>
      </c:barChart>
      <c:catAx>
        <c:axId val="243270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72655"/>
        <c:crosses val="autoZero"/>
        <c:auto val="1"/>
        <c:lblAlgn val="ctr"/>
        <c:lblOffset val="100"/>
        <c:noMultiLvlLbl val="0"/>
      </c:catAx>
      <c:valAx>
        <c:axId val="24327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7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Probability Returns</a:t>
            </a:r>
            <a:r>
              <a:rPr lang="en-US" baseline="0"/>
              <a:t> </a:t>
            </a:r>
            <a:r>
              <a:rPr lang="en-US"/>
              <a:t>Less than or in Range</a:t>
            </a:r>
          </a:p>
        </c:rich>
      </c:tx>
      <c:layout>
        <c:manualLayout>
          <c:xMode val="edge"/>
          <c:yMode val="edge"/>
          <c:x val="0.13384792932795012"/>
          <c:y val="2.7705625187249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simulation!$L$7</c:f>
              <c:strCache>
                <c:ptCount val="1"/>
                <c:pt idx="0">
                  <c:v>Cum Prob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simulation!$I$8:$I$17</c:f>
              <c:strCache>
                <c:ptCount val="10"/>
                <c:pt idx="0">
                  <c:v>0.903 To 0.92</c:v>
                </c:pt>
                <c:pt idx="1">
                  <c:v>0.92 To 0.937</c:v>
                </c:pt>
                <c:pt idx="2">
                  <c:v>0.937 To 0.954</c:v>
                </c:pt>
                <c:pt idx="3">
                  <c:v>0.954 To 0.972</c:v>
                </c:pt>
                <c:pt idx="4">
                  <c:v>0.972 To 0.99</c:v>
                </c:pt>
                <c:pt idx="5">
                  <c:v>0.99 To 1.008</c:v>
                </c:pt>
                <c:pt idx="6">
                  <c:v>1.008 To 1.027</c:v>
                </c:pt>
                <c:pt idx="7">
                  <c:v>1.027 To 1.046</c:v>
                </c:pt>
                <c:pt idx="8">
                  <c:v>1.046 To 1.066</c:v>
                </c:pt>
                <c:pt idx="9">
                  <c:v>1.066 To 1.086</c:v>
                </c:pt>
              </c:strCache>
            </c:strRef>
          </c:cat>
          <c:val>
            <c:numRef>
              <c:f>simulation!$L$8:$L$17</c:f>
              <c:numCache>
                <c:formatCode>_(* #,##0.00_);_(* \(#,##0.00\);_(* "-"??_);_(@_)</c:formatCode>
                <c:ptCount val="10"/>
                <c:pt idx="0">
                  <c:v>0.10150000000000001</c:v>
                </c:pt>
                <c:pt idx="1">
                  <c:v>0.19890000000000002</c:v>
                </c:pt>
                <c:pt idx="2">
                  <c:v>0.29880000000000001</c:v>
                </c:pt>
                <c:pt idx="3">
                  <c:v>0.40179999999999999</c:v>
                </c:pt>
                <c:pt idx="4">
                  <c:v>0.50390000000000001</c:v>
                </c:pt>
                <c:pt idx="5">
                  <c:v>0.60189999999999999</c:v>
                </c:pt>
                <c:pt idx="6">
                  <c:v>0.69909999999999994</c:v>
                </c:pt>
                <c:pt idx="7">
                  <c:v>0.80479999999999996</c:v>
                </c:pt>
                <c:pt idx="8">
                  <c:v>0.89949999999999997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9-47B2-9EE3-606808EAB9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43270735"/>
        <c:axId val="243272655"/>
      </c:barChart>
      <c:catAx>
        <c:axId val="243270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72655"/>
        <c:crosses val="autoZero"/>
        <c:auto val="1"/>
        <c:lblAlgn val="ctr"/>
        <c:lblOffset val="100"/>
        <c:noMultiLvlLbl val="0"/>
      </c:catAx>
      <c:valAx>
        <c:axId val="24327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7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</xdr:row>
          <xdr:rowOff>28574</xdr:rowOff>
        </xdr:from>
        <xdr:to>
          <xdr:col>12</xdr:col>
          <xdr:colOff>742951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859631</xdr:colOff>
      <xdr:row>1</xdr:row>
      <xdr:rowOff>73819</xdr:rowOff>
    </xdr:from>
    <xdr:to>
      <xdr:col>18</xdr:col>
      <xdr:colOff>381001</xdr:colOff>
      <xdr:row>15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B5ACAE-CA03-2801-FFC1-9B0EDA7575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88105</xdr:colOff>
      <xdr:row>1</xdr:row>
      <xdr:rowOff>11907</xdr:rowOff>
    </xdr:from>
    <xdr:to>
      <xdr:col>25</xdr:col>
      <xdr:colOff>547687</xdr:colOff>
      <xdr:row>15</xdr:row>
      <xdr:rowOff>95251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24F826-C849-4F92-A97E-B9645D74E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9CDF3AA-9E6C-4389-A5AC-3CAE1D54E4CE}" autoFormatId="16" applyNumberFormats="0" applyBorderFormats="0" applyFontFormats="0" applyPatternFormats="0" applyAlignmentFormats="0" applyWidthHeightFormats="0">
  <queryTableRefresh nextId="9" unboundColumnsRight="2">
    <queryTableFields count="6">
      <queryTableField id="1" name="Value.result.meta.symbol" tableColumnId="1"/>
      <queryTableField id="3" name="Index" tableColumnId="3"/>
      <queryTableField id="2" name="Date" tableColumnId="2"/>
      <queryTableField id="4" name="Close Price" tableColumnId="4"/>
      <queryTableField id="7" dataBound="0" tableColumnId="6"/>
      <queryTableField id="8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ABDCBE-2F0D-4F36-8F37-4BA80C7D336E}" name="Price_Data" displayName="Price_Data" ref="A2:F254" tableType="queryTable" totalsRowShown="0">
  <autoFilter ref="A2:F254" xr:uid="{FBABDCBE-2F0D-4F36-8F37-4BA80C7D336E}"/>
  <sortState xmlns:xlrd2="http://schemas.microsoft.com/office/spreadsheetml/2017/richdata2" ref="A3:F254">
    <sortCondition descending="1" ref="C2:C254"/>
  </sortState>
  <tableColumns count="6">
    <tableColumn id="1" xr3:uid="{E3905AAA-796C-4A21-9819-99D4C111D7EB}" uniqueName="1" name="Value.result.meta.symbol" queryTableFieldId="1" dataDxfId="4"/>
    <tableColumn id="3" xr3:uid="{A9FC7B8B-8BAB-4EDE-B393-7BE8A0DB677E}" uniqueName="3" name="Index" queryTableFieldId="3"/>
    <tableColumn id="2" xr3:uid="{C03191A7-C336-4166-9F0E-00610DE92538}" uniqueName="2" name="Date" queryTableFieldId="2" dataDxfId="3"/>
    <tableColumn id="4" xr3:uid="{D0000928-F725-4FB2-B366-51A1DB52584D}" uniqueName="4" name="Close Price" queryTableFieldId="4" dataDxfId="2" dataCellStyle="Currency"/>
    <tableColumn id="6" xr3:uid="{0199A6DB-2F8C-4EE0-A5AF-8D6F21C52B85}" uniqueName="6" name="Price Change" queryTableFieldId="7" dataDxfId="1" dataCellStyle="Comma">
      <calculatedColumnFormula xml:space="preserve"> IFERROR(Price_Data[[#This Row],[Close Price]]-D2,0)</calculatedColumnFormula>
    </tableColumn>
    <tableColumn id="7" xr3:uid="{7F32EFF9-28E1-4186-A2E9-900C9561230A}" uniqueName="7" name="% Change" queryTableFieldId="8" dataDxfId="0" dataCellStyle="Percent">
      <calculatedColumnFormula>_xlfn.LET(_xlpm.current,Price_Data[[#This Row],[Close Price]],_xlpm.prev,Price_Data[[#This Row],[Close Price]]-Price_Data[[#This Row],[Price Change]],LOG(_xlpm.current/_xlpm.prev))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5A3933-CD87-47A4-BC8C-3B4EB7ECEA89}">
  <we:reference id="wa200000018" version="24.0.0.0" store="en-US" storeType="OMEX"/>
  <we:alternateReferences>
    <we:reference id="wa200000018" version="24.0.0.0" store="wa200000018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PsiNormal</we:customFunctionIds>
        <we:customFunctionIds>PsiBernoulli</we:customFunctionIds>
        <we:customFunctionIds>PsiBeta</we:customFunctionIds>
        <we:customFunctionIds>PsiBetaGen</we:customFunctionIds>
        <we:customFunctionIds>PsiBetaSubj</we:customFunctionIds>
        <we:customFunctionIds>PsiBinomial</we:customFunctionIds>
        <we:customFunctionIds>PsiCauchy</we:customFunctionIds>
        <we:customFunctionIds>PsiChiSquare</we:customFunctionIds>
        <we:customFunctionIds>PsiCumul</we:customFunctionIds>
        <we:customFunctionIds>PsiCumulD</we:customFunctionIds>
        <we:customFunctionIds>PsiDiscrete</we:customFunctionIds>
        <we:customFunctionIds>PsiDisUniform</we:customFunctionIds>
        <we:customFunctionIds>PsiErf</we:customFunctionIds>
        <we:customFunctionIds>PsiErlang</we:customFunctionIds>
        <we:customFunctionIds>PsiExponential</we:customFunctionIds>
        <we:customFunctionIds>PsiGamma</we:customFunctionIds>
        <we:customFunctionIds>PsiGeneral</we:customFunctionIds>
        <we:customFunctionIds>PsiGeometric</we:customFunctionIds>
        <we:customFunctionIds>PsiHistogram</we:customFunctionIds>
        <we:customFunctionIds>PsiHyperGeo</we:customFunctionIds>
        <we:customFunctionIds>PsiIntUniform</we:customFunctionIds>
        <we:customFunctionIds>PsiInvNormal</we:customFunctionIds>
        <we:customFunctionIds>PsiLaplace</we:customFunctionIds>
        <we:customFunctionIds>PsiLogarithmic</we:customFunctionIds>
        <we:customFunctionIds>PsiLogistic</we:customFunctionIds>
        <we:customFunctionIds>PsiLogLogistic</we:customFunctionIds>
        <we:customFunctionIds>PsiLogNormal</we:customFunctionIds>
        <we:customFunctionIds>PsiLogNorm2</we:customFunctionIds>
        <we:customFunctionIds>PsiMaxExtreme</we:customFunctionIds>
        <we:customFunctionIds>PsiMinExtreme</we:customFunctionIds>
        <we:customFunctionIds>PsiMyerson</we:customFunctionIds>
        <we:customFunctionIds>PsiNegBinomial</we:customFunctionIds>
        <we:customFunctionIds>PsiNormalSkew</we:customFunctionIds>
        <we:customFunctionIds>PsiPareto</we:customFunctionIds>
        <we:customFunctionIds>PsiPareto2</we:customFunctionIds>
        <we:customFunctionIds>PsiPearson5</we:customFunctionIds>
        <we:customFunctionIds>PsiPearson6</we:customFunctionIds>
        <we:customFunctionIds>PsiPert</we:customFunctionIds>
        <we:customFunctionIds>PsiPoisson</we:customFunctionIds>
        <we:customFunctionIds>PsiRayleigh</we:customFunctionIds>
        <we:customFunctionIds>PsiStudent</we:customFunctionIds>
        <we:customFunctionIds>PsiTriangular</we:customFunctionIds>
        <we:customFunctionIds>PsiTriangGen</we:customFunctionIds>
        <we:customFunctionIds>PsiUniform</we:customFunctionIds>
        <we:customFunctionIds>PsiWeibull</we:customFunctionIds>
        <we:customFunctionIds>PsiBurr12</we:customFunctionIds>
        <we:customFunctionIds>PsiDagum</we:customFunctionIds>
        <we:customFunctionIds>PsiDblTriang</we:customFunctionIds>
        <we:customFunctionIds>PsiFdist</we:customFunctionIds>
        <we:customFunctionIds>PsiFatigueLife</we:customFunctionIds>
        <we:customFunctionIds>PsiFrechet</we:customFunctionIds>
        <we:customFunctionIds>PsiHypSecant</we:customFunctionIds>
        <we:customFunctionIds>PsiJohnsonSB</we:customFunctionIds>
        <we:customFunctionIds>PsiJohnsonSU</we:customFunctionIds>
        <we:customFunctionIds>PsiKumaraswamy</we:customFunctionIds>
        <we:customFunctionIds>PsiLevy</we:customFunctionIds>
        <we:customFunctionIds>PsiReciprocal</we:customFunctionIds>
        <we:customFunctionIds>PsiVary</we:customFunctionIds>
        <we:customFunctionIds>PsiMVLogNormal</we:customFunctionIds>
        <we:customFunctionIds>PsiMVNormal</we:customFunctionIds>
        <we:customFunctionIds>PsiMVResample</we:customFunctionIds>
        <we:customFunctionIds>PsiMVShuffle</we:customFunctionIds>
        <we:customFunctionIds>PsiMean</we:customFunctionIds>
        <we:customFunctionIds>PsiTheoMean</we:customFunctionIds>
        <we:customFunctionIds>PsiLock</we:customFunctionIds>
        <we:customFunctionIds>PsiName</we:customFunctionIds>
        <we:customFunctionIds>PsiShift</we:customFunctionIds>
        <we:customFunctionIds>PsiSample</we:customFunctionIds>
        <we:customFunctionIds>PsiTruncate</we:customFunctionIds>
        <we:customFunctionIds>PsiSeed</we:customFunctionIds>
        <we:customFunctionIds>PsiSixSigma</we:customFunctionIds>
        <we:customFunctionIds>PsiTSSync</we:customFunctionIds>
        <we:customFunctionIds>PsiConvergence</we:customFunctionIds>
        <we:customFunctionIds>PsiIsDate</we:customFunctionIds>
        <we:customFunctionIds>PsiIsDiscrete</we:customFunctionIds>
        <we:customFunctionIds>PsiLibrary</we:customFunctionIds>
        <we:customFunctionIds>PsiFitInfo</we:customFunctionIds>
        <we:customFunctionIds>PsiOutput</we:customFunctionIds>
        <we:customFunctionIds>PsiInput</we:customFunctionIds>
        <we:customFunctionIds>PsiSimParam</we:customFunctionIds>
        <we:customFunctionIds>PsiSenParam</we:customFunctionIds>
        <we:customFunctionIds>PsiOptParam</we:customFunctionIds>
        <we:customFunctionIds>PsiCalcParam</we:customFunctionIds>
        <we:customFunctionIds>PsiSlurp</we:customFunctionIds>
        <we:customFunctionIds>PsiSip</we:customFunctionIds>
        <we:customFunctionIds>PsiTSSip</we:customFunctionIds>
        <we:customFunctionIds>PsiCorrMatrix</we:customFunctionIds>
        <we:customFunctionIds>PsiCorrDepen</we:customFunctionIds>
        <we:customFunctionIds>PsiCorrIndep</we:customFunctionIds>
        <we:customFunctionIds>PsiFit</we:customFunctionIds>
        <we:customFunctionIds>PsiData</we:customFunctionIds>
        <we:customFunctionIds>PsiKurtosis</we:customFunctionIds>
        <we:customFunctionIds>PsiTheoKurtosis</we:customFunctionIds>
        <we:customFunctionIds>PsiMax</we:customFunctionIds>
        <we:customFunctionIds>PsiTheoMax</we:customFunctionIds>
        <we:customFunctionIds>PsiMin</we:customFunctionIds>
        <we:customFunctionIds>PsiTheoMin</we:customFunctionIds>
        <we:customFunctionIds>PsiMode</we:customFunctionIds>
        <we:customFunctionIds>PsiTheoMode</we:customFunctionIds>
        <we:customFunctionIds>PsiPercentile</we:customFunctionIds>
        <we:customFunctionIds>PsiTheoPercentile</we:customFunctionIds>
        <we:customFunctionIds>PsiPtoX</we:customFunctionIds>
        <we:customFunctionIds>PsiTheoPtoX</we:customFunctionIds>
        <we:customFunctionIds>PsiPercentileD</we:customFunctionIds>
        <we:customFunctionIds>PsiTheoPercentileD</we:customFunctionIds>
        <we:customFunctionIds>PsiQtoX</we:customFunctionIds>
        <we:customFunctionIds>PsiTheoQtoX</we:customFunctionIds>
        <we:customFunctionIds>PsiRange</we:customFunctionIds>
        <we:customFunctionIds>PsiTheoRange</we:customFunctionIds>
        <we:customFunctionIds>PsiSkewness</we:customFunctionIds>
        <we:customFunctionIds>PsiTheoSkewness</we:customFunctionIds>
        <we:customFunctionIds>PsiStdDev</we:customFunctionIds>
        <we:customFunctionIds>PsiTheoStdDev</we:customFunctionIds>
        <we:customFunctionIds>PsiTarget</we:customFunctionIds>
        <we:customFunctionIds>PsiTheoTarget</we:customFunctionIds>
        <we:customFunctionIds>PsiXtoP</we:customFunctionIds>
        <we:customFunctionIds>PsiTheoXtoP</we:customFunctionIds>
        <we:customFunctionIds>PsiTargetD</we:customFunctionIds>
        <we:customFunctionIds>PsiTheoTargetD</we:customFunctionIds>
        <we:customFunctionIds>PsiXtoQ</we:customFunctionIds>
        <we:customFunctionIds>PsiTheoXtoQ</we:customFunctionIds>
        <we:customFunctionIds>PsiTheoXtoY</we:customFunctionIds>
        <we:customFunctionIds>PsiVariance</we:customFunctionIds>
        <we:customFunctionIds>PsiTheoVariance</we:customFunctionIds>
        <we:customFunctionIds>PsiAbsDev</we:customFunctionIds>
        <we:customFunctionIds>PsiCITrials</we:customFunctionIds>
        <we:customFunctionIds>PsiCorrelation</we:customFunctionIds>
        <we:customFunctionIds>PsiFrequency</we:customFunctionIds>
        <we:customFunctionIds>PsiMeanCI</we:customFunctionIds>
        <we:customFunctionIds>PsiMeanCIB</we:customFunctionIds>
        <we:customFunctionIds>PsiSemiDev</we:customFunctionIds>
        <we:customFunctionIds>PsiSemiDev2</we:customFunctionIds>
        <we:customFunctionIds>PsiSemiVar</we:customFunctionIds>
        <we:customFunctionIds>PsiSemiVar2</we:customFunctionIds>
        <we:customFunctionIds>PsiStdDevCI</we:customFunctionIds>
        <we:customFunctionIds>PsiBVaR</we:customFunctionIds>
        <we:customFunctionIds>PsiCVaR</we:customFunctionIds>
        <we:customFunctionIds>PsiCurrentTrial</we:customFunctionIds>
        <we:customFunctionIds>PsiCurrentSim</we:customFunctionIds>
        <we:customFunctionIds>PsiCount</we:customFunctionIds>
        <we:customFunctionIds>PsiSenValue</we:customFunctionIds>
        <we:customFunctionIds>PsiCurrentOpt</we:customFunctionIds>
        <we:customFunctionIds>PsiMedian</we:customFunctionIds>
        <we:customFunctionIds>PsiTheoMedian</we:customFunctionIds>
        <we:customFunctionIds>PsiDim</we:customFunctionIds>
        <we:customFunctionIds>PsiCube</we:customFunctionIds>
        <we:customFunctionIds>PsiReduce</we:customFunctionIds>
        <we:customFunctionIds>PsiJoin</we:customFunctionIds>
        <we:customFunctionIds>PsiOptStatus</we:customFunctionIds>
        <we:customFunctionIds>PsiPivotCube</we:customFunctionIds>
        <we:customFunctionIds>PsiCalcValue</we:customFunctionIds>
        <we:customFunctionIds>PsiOptData</we:customFunctionIds>
        <we:customFunctionIds>PsiParamDim</we:customFunctionIds>
        <we:customFunctionIds>PsiPivotDim</we:customFunctionIds>
        <we:customFunctionIds>PsiCubeOutput</we:customFunctionIds>
        <we:customFunctionIds>PsiDimLock</we:customFunctionIds>
        <we:customFunctionIds>PsiDimActive</we:customFunctionIds>
        <we:customFunctionIds>PsiCubeData</we:customFunctionIds>
        <we:customFunctionIds>PsiSimOutput</we:customFunctionIds>
        <we:customFunctionIds>PsiSimData</we:customFunctionIds>
        <we:customFunctionIds>PsiResample</we:customFunctionIds>
        <we:customFunctionIds>PsiTableCube</we:customFunctionIds>
        <we:customFunctionIds>PsiCompound</we:customFunctionIds>
        <we:customFunctionIds>PsiCopula</we:customFunctionIds>
        <we:customFunctionIds>PsiCopulaStudent</we:customFunctionIds>
        <we:customFunctionIds>PsiCopulaGauss</we:customFunctionIds>
        <we:customFunctionIds>PsiKendallTau</we:customFunctionIds>
        <we:customFunctionIds>PsiSpearmanRho</we:customFunctionIds>
        <we:customFunctionIds>PsiMetalog</we:customFunctionIds>
        <we:customFunctionIds>PsiMetalogSPT</we:customFunctionIds>
        <we:customFunctionIds>PsiMetalogFit</we:customFunctionIds>
        <we:customFunctionIds>PsiDataSrc</we:customFunctionIds>
        <we:customFunctionIds>PsiModelSrc</we:customFunctionIds>
        <we:customFunctionIds>PsiSigmaCP</we:customFunctionIds>
        <we:customFunctionIds>PsiSigmaCPK</we:customFunctionIds>
        <we:customFunctionIds>PsiSigmaCPKLower</we:customFunctionIds>
        <we:customFunctionIds>PsiSigmaCPKUpper</we:customFunctionIds>
        <we:customFunctionIds>PsiSigmaCPM</we:customFunctionIds>
        <we:customFunctionIds>PsiSigmaDefectPPM</we:customFunctionIds>
        <we:customFunctionIds>PsiSigmaDefectShiftPPM</we:customFunctionIds>
        <we:customFunctionIds>PsiSigmaDefectShiftPPMLower</we:customFunctionIds>
        <we:customFunctionIds>PsiSigmaDefectShiftPPMUpper</we:customFunctionIds>
        <we:customFunctionIds>PsiSigmaK</we:customFunctionIds>
        <we:customFunctionIds>PsiSigmaLowerBound</we:customFunctionIds>
        <we:customFunctionIds>PsiSigmaProbDefectShift</we:customFunctionIds>
        <we:customFunctionIds>PsiSigmaProbDefectShiftLower</we:customFunctionIds>
        <we:customFunctionIds>PsiSigmaProbDefectShiftUpper</we:customFunctionIds>
        <we:customFunctionIds>PsiSigmaSigmaLevel</we:customFunctionIds>
        <we:customFunctionIds>PsiSigmaUpperBound</we:customFunctionIds>
        <we:customFunctionIds>PsiSigmaYield</we:customFunctionIds>
        <we:customFunctionIds>PsiSigmaZLower</we:customFunctionIds>
        <we:customFunctionIds>PsiSigmaZMin</we:customFunctionIds>
        <we:customFunctionIds>PsiSigmaZUpper</we:customFunctionIds>
        <we:customFunctionIds>PsiBetaGenAlt</we:customFunctionIds>
        <we:customFunctionIds>PsiCauchyAlt</we:customFunctionIds>
        <we:customFunctionIds>PsiChiSquareAlt</we:customFunctionIds>
        <we:customFunctionIds>PsiErfAlt</we:customFunctionIds>
        <we:customFunctionIds>PsiExponentialAlt</we:customFunctionIds>
        <we:customFunctionIds>PsiGammaAlt</we:customFunctionIds>
        <we:customFunctionIds>PsiInvNormalAlt</we:customFunctionIds>
        <we:customFunctionIds>PsiLaplaceAlt</we:customFunctionIds>
        <we:customFunctionIds>PsiLogisticAlt</we:customFunctionIds>
        <we:customFunctionIds>PsiLogLogisticAlt</we:customFunctionIds>
        <we:customFunctionIds>PsiLogNormalAlt</we:customFunctionIds>
        <we:customFunctionIds>PsiMaxExtremeAlt</we:customFunctionIds>
        <we:customFunctionIds>PsiMinExtremeAlt</we:customFunctionIds>
        <we:customFunctionIds>PsiNormalAlt</we:customFunctionIds>
        <we:customFunctionIds>PsiUniformAlt</we:customFunctionIds>
        <we:customFunctionIds>PsiTriangularAlt</we:customFunctionIds>
        <we:customFunctionIds>PsiParetoAlt</we:customFunctionIds>
        <we:customFunctionIds>PsiPareto2Alt</we:customFunctionIds>
        <we:customFunctionIds>PsiPearson5Alt</we:customFunctionIds>
        <we:customFunctionIds>PsiPearson6Alt</we:customFunctionIds>
        <we:customFunctionIds>PsiPertAlt</we:customFunctionIds>
        <we:customFunctionIds>PsiRayleighAlt</we:customFunctionIds>
        <we:customFunctionIds>PsiStudentAlt</we:customFunctionIds>
        <we:customFunctionIds>PsiWeibullAlt</we:customFunctionIds>
        <we:customFunctionIds>PsiOptValue</we:customFunctionIds>
        <we:customFunctionIds>PsiCoeffVar</we:customFunctionIds>
        <we:customFunctionIds>PsiStdErr</we:customFunctionIds>
        <we:customFunctionIds>PsiExpGain</we:customFunctionIds>
        <we:customFunctionIds>PsiExpGainRatio</we:customFunctionIds>
        <we:customFunctionIds>PsiExpLoss</we:customFunctionIds>
        <we:customFunctionIds>PsiExpLossRatio</we:customFunctionIds>
        <we:customFunctionIds>PsiExpValMargin</we:customFunctionIds>
        <we:customFunctionIds>PsiCertified</we:customFunctionIds>
        <we:customFunctionIds>PsiCensor</we:customFunctionIds>
        <we:customFunctionIds>PsiBaseCase</we:customFunctionIds>
        <we:customFunctionIds>PsiForecastETS</we:customFunctionIds>
        <we:customFunctionIds>PsiForecastLinear</we:customFunctionIds>
        <we:customFunctionIds>DotProduct</we:customFunctionIds>
        <we:customFunctionIds>QuadProduct</we:customFunctionIds>
        <we:customFunctionIds>PsiDecTable</we:customFunctionIds>
        <we:customFunctionIds>PsiBoxFunction</we:customFunctionIds>
        <we:customFunctionIds>PsiBoxIterator</we:customFunctionIds>
        <we:customFunctionIds>PsiInitialValue</we:customFunctionIds>
        <we:customFunctionIds>PsiFinalValue</we:customFunctionIds>
        <we:customFunctionIds>PsiDualValue</we:customFunctionIds>
        <we:customFunctionIds>PsiSlackValue</we:customFunctionIds>
        <we:customFunctionIds>PsiDualUpper</we:customFunctionIds>
        <we:customFunctionIds>PsiDualLower</we:customFunctionIds>
        <we:customFunctionIds>PsiTSIntegrate</we:customFunctionIds>
        <we:customFunctionIds>PsiTransform</we:customFunctionIds>
        <we:customFunctionIds>PsiTSSeasonality</we:customFunctionIds>
        <we:customFunctionIds>PsiTSLen</we:customFunctionIds>
        <we:customFunctionIds>PsiAR1</we:customFunctionIds>
        <we:customFunctionIds>PsiAR2</we:customFunctionIds>
        <we:customFunctionIds>PsiMA1</we:customFunctionIds>
        <we:customFunctionIds>PsiMA2</we:customFunctionIds>
        <we:customFunctionIds>PsiARMA11</we:customFunctionIds>
        <we:customFunctionIds>PsiARCH1</we:customFunctionIds>
        <we:customFunctionIds>PsiGARCH11</we:customFunctionIds>
        <we:customFunctionIds>PsiEGARCH11</we:customFunctionIds>
        <we:customFunctionIds>PsiAPARCH11</we:customFunctionIds>
        <we:customFunctionIds>PsiTargetCI</we:customFunctionIds>
        <we:customFunctionIds>PsiPercentileCI</we:customFunctionIds>
        <we:customFunctionIds>PsiPercentiles</we:customFunctionIds>
        <we:customFunctionIds>PsiModelDesc</we:customFunctionIds>
        <we:customFunctionIds>PsiCorrectCorrmat</we:customFunctionIds>
        <we:customFunctionIds>PsiStatic</we:customFunctionIds>
        <we:customFunctionIds>PsiMakeInput</we:customFunctionIds>
        <we:customFunctionIds>PsiSimulationInfo</we:customFunctionIds>
        <we:customFunctionIds>PsiConverged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D76DB-E444-443C-9968-55CC3238AC8D}">
  <sheetPr codeName="Sheet2"/>
  <dimension ref="B1:B13"/>
  <sheetViews>
    <sheetView tabSelected="1" workbookViewId="0">
      <selection activeCell="D7" sqref="D7"/>
    </sheetView>
  </sheetViews>
  <sheetFormatPr defaultRowHeight="15" x14ac:dyDescent="0.25"/>
  <cols>
    <col min="2" max="2" width="112.140625" style="2" bestFit="1" customWidth="1"/>
  </cols>
  <sheetData>
    <row r="1" spans="2:2" x14ac:dyDescent="0.25">
      <c r="B1" s="20" t="s">
        <v>42</v>
      </c>
    </row>
    <row r="2" spans="2:2" x14ac:dyDescent="0.25">
      <c r="B2" s="2" t="s">
        <v>19</v>
      </c>
    </row>
    <row r="3" spans="2:2" x14ac:dyDescent="0.25">
      <c r="B3" s="2" t="s">
        <v>41</v>
      </c>
    </row>
    <row r="5" spans="2:2" x14ac:dyDescent="0.25">
      <c r="B5" s="20" t="s">
        <v>35</v>
      </c>
    </row>
    <row r="6" spans="2:2" x14ac:dyDescent="0.25">
      <c r="B6" s="23" t="s">
        <v>38</v>
      </c>
    </row>
    <row r="7" spans="2:2" ht="30" x14ac:dyDescent="0.25">
      <c r="B7" s="23" t="s">
        <v>39</v>
      </c>
    </row>
    <row r="8" spans="2:2" x14ac:dyDescent="0.25">
      <c r="B8" s="20"/>
    </row>
    <row r="10" spans="2:2" x14ac:dyDescent="0.25">
      <c r="B10" s="20" t="s">
        <v>36</v>
      </c>
    </row>
    <row r="11" spans="2:2" x14ac:dyDescent="0.25">
      <c r="B11" s="2" t="s">
        <v>18</v>
      </c>
    </row>
    <row r="12" spans="2:2" x14ac:dyDescent="0.25">
      <c r="B12" s="2" t="s">
        <v>37</v>
      </c>
    </row>
    <row r="13" spans="2:2" x14ac:dyDescent="0.25">
      <c r="B13" s="2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4C44-6AB0-4EB4-952D-3DF3751AA6EE}">
  <sheetPr codeName="Sheet1"/>
  <dimension ref="A1:S254"/>
  <sheetViews>
    <sheetView zoomScale="80" zoomScaleNormal="80" workbookViewId="0">
      <selection activeCell="K20" sqref="K20"/>
    </sheetView>
  </sheetViews>
  <sheetFormatPr defaultRowHeight="15" x14ac:dyDescent="0.25"/>
  <cols>
    <col min="1" max="1" width="26.5703125" bestFit="1" customWidth="1"/>
    <col min="2" max="2" width="8.7109375" bestFit="1" customWidth="1"/>
    <col min="3" max="3" width="16.5703125" bestFit="1" customWidth="1"/>
    <col min="4" max="4" width="13.85546875" bestFit="1" customWidth="1"/>
    <col min="5" max="5" width="15.5703125" bestFit="1" customWidth="1"/>
    <col min="6" max="6" width="12.7109375" bestFit="1" customWidth="1"/>
    <col min="7" max="7" width="14.7109375" customWidth="1"/>
    <col min="8" max="8" width="27.85546875" bestFit="1" customWidth="1"/>
    <col min="9" max="9" width="21" bestFit="1" customWidth="1"/>
    <col min="10" max="10" width="10.7109375" bestFit="1" customWidth="1"/>
    <col min="11" max="11" width="16" customWidth="1"/>
    <col min="12" max="12" width="12.140625" customWidth="1"/>
    <col min="13" max="13" width="12.7109375" customWidth="1"/>
    <col min="14" max="14" width="30.5703125" bestFit="1" customWidth="1"/>
    <col min="15" max="15" width="9.5703125" customWidth="1"/>
    <col min="16" max="16" width="9" customWidth="1"/>
    <col min="17" max="17" width="15.85546875" bestFit="1" customWidth="1"/>
  </cols>
  <sheetData>
    <row r="1" spans="1:18" x14ac:dyDescent="0.25">
      <c r="K1" s="10" t="s">
        <v>6</v>
      </c>
    </row>
    <row r="2" spans="1:18" x14ac:dyDescent="0.25">
      <c r="A2" t="s">
        <v>4</v>
      </c>
      <c r="B2" t="s">
        <v>5</v>
      </c>
      <c r="C2" t="s">
        <v>1</v>
      </c>
      <c r="D2" t="s">
        <v>2</v>
      </c>
      <c r="E2" t="s">
        <v>8</v>
      </c>
      <c r="F2" t="s">
        <v>13</v>
      </c>
      <c r="H2" s="10" t="s">
        <v>0</v>
      </c>
      <c r="I2" cm="1">
        <f t="array" aca="1" ref="I2" ca="1">INDIRECT("D"&amp;3)</f>
        <v>5505</v>
      </c>
      <c r="K2" s="2" t="s">
        <v>7</v>
      </c>
    </row>
    <row r="3" spans="1:18" x14ac:dyDescent="0.25">
      <c r="A3" s="9" t="s">
        <v>3</v>
      </c>
      <c r="B3">
        <v>251</v>
      </c>
      <c r="C3" s="1">
        <v>45492.5625</v>
      </c>
      <c r="D3" s="5">
        <v>5505</v>
      </c>
      <c r="E3" s="6">
        <f xml:space="preserve"> IFERROR(Price_Data[[#This Row],[Close Price]]-D2,0)</f>
        <v>0</v>
      </c>
      <c r="F3" s="4">
        <f>_xlfn.LET(_xlpm.current,Price_Data[[#This Row],[Close Price]],_xlpm.prev,Price_Data[[#This Row],[Close Price]]-Price_Data[[#This Row],[Price Change]],LOG(_xlpm.current/_xlpm.prev))</f>
        <v>0</v>
      </c>
      <c r="H3" s="10" t="s">
        <v>21</v>
      </c>
      <c r="I3" s="21">
        <f>AVERAGE(Price_Data[% Change])</f>
        <v>-3.3409711098908587E-4</v>
      </c>
      <c r="J3" s="22"/>
    </row>
    <row r="4" spans="1:18" x14ac:dyDescent="0.25">
      <c r="A4" s="9" t="s">
        <v>3</v>
      </c>
      <c r="B4">
        <v>250</v>
      </c>
      <c r="C4" s="1">
        <v>45491.5625</v>
      </c>
      <c r="D4" s="5">
        <v>5544.5897999999997</v>
      </c>
      <c r="E4" s="6">
        <f xml:space="preserve"> IFERROR(Price_Data[[#This Row],[Close Price]]-D3,0)</f>
        <v>39.589799999999741</v>
      </c>
      <c r="F4" s="4">
        <f>_xlfn.LET(_xlpm.current,Price_Data[[#This Row],[Close Price]],_xlpm.prev,Price_Data[[#This Row],[Close Price]]-Price_Data[[#This Row],[Price Change]],LOG(_xlpm.current/_xlpm.prev))</f>
        <v>3.1120983791802668E-3</v>
      </c>
      <c r="H4" s="10" t="s">
        <v>22</v>
      </c>
      <c r="I4" s="21">
        <f>_xlfn.STDEV.P(Price_Data[% Change])</f>
        <v>3.0713179155039952E-3</v>
      </c>
      <c r="K4" s="10" t="s">
        <v>9</v>
      </c>
      <c r="L4" s="18">
        <v>10000</v>
      </c>
      <c r="O4" s="12"/>
    </row>
    <row r="5" spans="1:18" x14ac:dyDescent="0.25">
      <c r="A5" s="9" t="s">
        <v>3</v>
      </c>
      <c r="B5">
        <v>249</v>
      </c>
      <c r="C5" s="1">
        <v>45490.5625</v>
      </c>
      <c r="D5" s="5">
        <v>5588.27</v>
      </c>
      <c r="E5" s="6">
        <f xml:space="preserve"> IFERROR(Price_Data[[#This Row],[Close Price]]-D4,0)</f>
        <v>43.680200000000696</v>
      </c>
      <c r="F5" s="4">
        <f>_xlfn.LET(_xlpm.current,Price_Data[[#This Row],[Close Price]],_xlpm.prev,Price_Data[[#This Row],[Close Price]]-Price_Data[[#This Row],[Price Change]],LOG(_xlpm.current/_xlpm.prev))</f>
        <v>3.4079594125562907E-3</v>
      </c>
      <c r="H5" s="10" t="s">
        <v>15</v>
      </c>
      <c r="I5" s="18">
        <v>30</v>
      </c>
      <c r="K5" s="10" t="s">
        <v>14</v>
      </c>
      <c r="L5" s="18">
        <v>10</v>
      </c>
      <c r="O5" s="12"/>
    </row>
    <row r="6" spans="1:18" x14ac:dyDescent="0.25">
      <c r="A6" s="9" t="s">
        <v>3</v>
      </c>
      <c r="B6">
        <v>248</v>
      </c>
      <c r="C6" s="1">
        <v>45489.5625</v>
      </c>
      <c r="D6" s="5">
        <v>5667.2002000000002</v>
      </c>
      <c r="E6" s="6">
        <f xml:space="preserve"> IFERROR(Price_Data[[#This Row],[Close Price]]-D5,0)</f>
        <v>78.930199999999786</v>
      </c>
      <c r="F6" s="4">
        <f>_xlfn.LET(_xlpm.current,Price_Data[[#This Row],[Close Price]],_xlpm.prev,Price_Data[[#This Row],[Close Price]]-Price_Data[[#This Row],[Price Change]],LOG(_xlpm.current/_xlpm.prev))</f>
        <v>6.0911737370714291E-3</v>
      </c>
      <c r="M6" s="8"/>
      <c r="N6" s="4"/>
    </row>
    <row r="7" spans="1:18" x14ac:dyDescent="0.25">
      <c r="A7" s="9" t="s">
        <v>3</v>
      </c>
      <c r="B7">
        <v>247</v>
      </c>
      <c r="C7" s="1">
        <v>45488.5625</v>
      </c>
      <c r="D7" s="5">
        <v>5631.2201999999997</v>
      </c>
      <c r="E7" s="6">
        <f xml:space="preserve"> IFERROR(Price_Data[[#This Row],[Close Price]]-D6,0)</f>
        <v>-35.980000000000473</v>
      </c>
      <c r="F7" s="4">
        <f>_xlfn.LET(_xlpm.current,Price_Data[[#This Row],[Close Price]],_xlpm.prev,Price_Data[[#This Row],[Close Price]]-Price_Data[[#This Row],[Price Change]],LOG(_xlpm.current/_xlpm.prev))</f>
        <v>-2.7660447615743375E-3</v>
      </c>
      <c r="H7" s="14" t="s">
        <v>12</v>
      </c>
      <c r="I7" s="13" t="s">
        <v>20</v>
      </c>
      <c r="J7" s="13" t="s">
        <v>10</v>
      </c>
      <c r="K7" s="13" t="s">
        <v>11</v>
      </c>
      <c r="L7" s="13" t="s">
        <v>16</v>
      </c>
      <c r="M7" s="15"/>
      <c r="N7" s="4"/>
      <c r="O7" s="5"/>
      <c r="R7" s="3"/>
    </row>
    <row r="8" spans="1:18" x14ac:dyDescent="0.25">
      <c r="A8" s="9" t="s">
        <v>3</v>
      </c>
      <c r="B8">
        <v>246</v>
      </c>
      <c r="C8" s="1">
        <v>45485.5625</v>
      </c>
      <c r="D8" s="5">
        <v>5615.3500999999997</v>
      </c>
      <c r="E8" s="6">
        <f xml:space="preserve"> IFERROR(Price_Data[[#This Row],[Close Price]]-D7,0)</f>
        <v>-15.870100000000093</v>
      </c>
      <c r="F8" s="4">
        <f>_xlfn.LET(_xlpm.current,Price_Data[[#This Row],[Close Price]],_xlpm.prev,Price_Data[[#This Row],[Close Price]]-Price_Data[[#This Row],[Price Change]],LOG(_xlpm.current/_xlpm.prev))</f>
        <v>-1.2256716933428135E-3</v>
      </c>
      <c r="H8" s="11">
        <v>1</v>
      </c>
      <c r="I8" t="s">
        <v>23</v>
      </c>
      <c r="J8" s="11">
        <v>1015</v>
      </c>
      <c r="K8" s="12">
        <v>0.10150000000000001</v>
      </c>
      <c r="L8" s="8">
        <f>K8</f>
        <v>0.10150000000000001</v>
      </c>
      <c r="M8" s="8"/>
      <c r="N8" s="19"/>
      <c r="O8" s="7"/>
      <c r="R8" s="3"/>
    </row>
    <row r="9" spans="1:18" x14ac:dyDescent="0.25">
      <c r="A9" s="9" t="s">
        <v>3</v>
      </c>
      <c r="B9">
        <v>245</v>
      </c>
      <c r="C9" s="1">
        <v>45484.5625</v>
      </c>
      <c r="D9" s="5">
        <v>5584.54</v>
      </c>
      <c r="E9" s="6">
        <f xml:space="preserve"> IFERROR(Price_Data[[#This Row],[Close Price]]-D8,0)</f>
        <v>-30.810099999999693</v>
      </c>
      <c r="F9" s="4">
        <f>_xlfn.LET(_xlpm.current,Price_Data[[#This Row],[Close Price]],_xlpm.prev,Price_Data[[#This Row],[Close Price]]-Price_Data[[#This Row],[Price Change]],LOG(_xlpm.current/_xlpm.prev))</f>
        <v>-2.3894324052756754E-3</v>
      </c>
      <c r="H9" s="11">
        <v>2</v>
      </c>
      <c r="I9" t="s">
        <v>24</v>
      </c>
      <c r="J9" s="11">
        <v>974</v>
      </c>
      <c r="K9" s="12">
        <v>9.74E-2</v>
      </c>
      <c r="L9" s="8">
        <f>K9+L8</f>
        <v>0.19890000000000002</v>
      </c>
      <c r="M9" s="8"/>
      <c r="N9" s="16"/>
      <c r="O9" s="7"/>
    </row>
    <row r="10" spans="1:18" x14ac:dyDescent="0.25">
      <c r="A10" s="9" t="s">
        <v>3</v>
      </c>
      <c r="B10">
        <v>244</v>
      </c>
      <c r="C10" s="1">
        <v>45483.5625</v>
      </c>
      <c r="D10" s="5">
        <v>5633.9102000000003</v>
      </c>
      <c r="E10" s="6">
        <f xml:space="preserve"> IFERROR(Price_Data[[#This Row],[Close Price]]-D9,0)</f>
        <v>49.370200000000295</v>
      </c>
      <c r="F10" s="4">
        <f>_xlfn.LET(_xlpm.current,Price_Data[[#This Row],[Close Price]],_xlpm.prev,Price_Data[[#This Row],[Close Price]]-Price_Data[[#This Row],[Price Change]],LOG(_xlpm.current/_xlpm.prev))</f>
        <v>3.8225144235846586E-3</v>
      </c>
      <c r="H10" s="11">
        <v>3</v>
      </c>
      <c r="I10" t="s">
        <v>25</v>
      </c>
      <c r="J10" s="11">
        <v>999</v>
      </c>
      <c r="K10" s="12">
        <v>9.9900000000000003E-2</v>
      </c>
      <c r="L10" s="8">
        <f t="shared" ref="L10:L17" si="0">K10+L9</f>
        <v>0.29880000000000001</v>
      </c>
      <c r="M10" s="8"/>
      <c r="N10" s="16"/>
      <c r="O10" s="7"/>
    </row>
    <row r="11" spans="1:18" x14ac:dyDescent="0.25">
      <c r="A11" s="9" t="s">
        <v>3</v>
      </c>
      <c r="B11">
        <v>243</v>
      </c>
      <c r="C11" s="1">
        <v>45482.5625</v>
      </c>
      <c r="D11" s="5">
        <v>5576.98</v>
      </c>
      <c r="E11" s="6">
        <f xml:space="preserve"> IFERROR(Price_Data[[#This Row],[Close Price]]-D10,0)</f>
        <v>-56.930200000000696</v>
      </c>
      <c r="F11" s="4">
        <f>_xlfn.LET(_xlpm.current,Price_Data[[#This Row],[Close Price]],_xlpm.prev,Price_Data[[#This Row],[Close Price]]-Price_Data[[#This Row],[Price Change]],LOG(_xlpm.current/_xlpm.prev))</f>
        <v>-4.4108333595860296E-3</v>
      </c>
      <c r="H11" s="11">
        <v>4</v>
      </c>
      <c r="I11" t="s">
        <v>26</v>
      </c>
      <c r="J11" s="11">
        <v>1030</v>
      </c>
      <c r="K11" s="12">
        <v>0.10299999999999999</v>
      </c>
      <c r="L11" s="8">
        <f t="shared" si="0"/>
        <v>0.40179999999999999</v>
      </c>
      <c r="M11" s="8"/>
      <c r="N11" s="16"/>
      <c r="O11" s="7"/>
    </row>
    <row r="12" spans="1:18" x14ac:dyDescent="0.25">
      <c r="A12" s="9" t="s">
        <v>3</v>
      </c>
      <c r="B12">
        <v>242</v>
      </c>
      <c r="C12" s="1">
        <v>45481.5625</v>
      </c>
      <c r="D12" s="5">
        <v>5572.8500999999997</v>
      </c>
      <c r="E12" s="6">
        <f xml:space="preserve"> IFERROR(Price_Data[[#This Row],[Close Price]]-D11,0)</f>
        <v>-4.1298999999999069</v>
      </c>
      <c r="F12" s="4">
        <f>_xlfn.LET(_xlpm.current,Price_Data[[#This Row],[Close Price]],_xlpm.prev,Price_Data[[#This Row],[Close Price]]-Price_Data[[#This Row],[Price Change]],LOG(_xlpm.current/_xlpm.prev))</f>
        <v>-3.2172559523340448E-4</v>
      </c>
      <c r="H12" s="11">
        <v>5</v>
      </c>
      <c r="I12" t="s">
        <v>27</v>
      </c>
      <c r="J12" s="11">
        <v>1021</v>
      </c>
      <c r="K12" s="12">
        <v>0.1021</v>
      </c>
      <c r="L12" s="8">
        <f t="shared" si="0"/>
        <v>0.50390000000000001</v>
      </c>
      <c r="M12" s="8"/>
      <c r="N12" s="16"/>
      <c r="O12" s="7"/>
    </row>
    <row r="13" spans="1:18" x14ac:dyDescent="0.25">
      <c r="A13" s="9" t="s">
        <v>3</v>
      </c>
      <c r="B13">
        <v>241</v>
      </c>
      <c r="C13" s="1">
        <v>45478.5625</v>
      </c>
      <c r="D13" s="5">
        <v>5567.1899000000003</v>
      </c>
      <c r="E13" s="6">
        <f xml:space="preserve"> IFERROR(Price_Data[[#This Row],[Close Price]]-D12,0)</f>
        <v>-5.6601999999993495</v>
      </c>
      <c r="F13" s="4">
        <f>_xlfn.LET(_xlpm.current,Price_Data[[#This Row],[Close Price]],_xlpm.prev,Price_Data[[#This Row],[Close Price]]-Price_Data[[#This Row],[Price Change]],LOG(_xlpm.current/_xlpm.prev))</f>
        <v>-4.4132585484517447E-4</v>
      </c>
      <c r="H13" s="11">
        <v>6</v>
      </c>
      <c r="I13" t="s">
        <v>28</v>
      </c>
      <c r="J13" s="11">
        <v>980</v>
      </c>
      <c r="K13" s="12">
        <v>9.8000000000000004E-2</v>
      </c>
      <c r="L13" s="8">
        <f t="shared" si="0"/>
        <v>0.60189999999999999</v>
      </c>
      <c r="M13" s="8"/>
      <c r="N13" s="16"/>
      <c r="O13" s="7"/>
    </row>
    <row r="14" spans="1:18" x14ac:dyDescent="0.25">
      <c r="A14" s="9" t="s">
        <v>3</v>
      </c>
      <c r="B14">
        <v>240</v>
      </c>
      <c r="C14" s="1">
        <v>45476.5625</v>
      </c>
      <c r="D14" s="5">
        <v>5537.02</v>
      </c>
      <c r="E14" s="6">
        <f xml:space="preserve"> IFERROR(Price_Data[[#This Row],[Close Price]]-D13,0)</f>
        <v>-30.16989999999987</v>
      </c>
      <c r="F14" s="4">
        <f>_xlfn.LET(_xlpm.current,Price_Data[[#This Row],[Close Price]],_xlpm.prev,Price_Data[[#This Row],[Close Price]]-Price_Data[[#This Row],[Price Change]],LOG(_xlpm.current/_xlpm.prev))</f>
        <v>-2.3599433816138583E-3</v>
      </c>
      <c r="H14" s="11">
        <v>7</v>
      </c>
      <c r="I14" t="s">
        <v>29</v>
      </c>
      <c r="J14" s="11">
        <v>972</v>
      </c>
      <c r="K14" s="12">
        <v>9.7199999999999995E-2</v>
      </c>
      <c r="L14" s="8">
        <f t="shared" si="0"/>
        <v>0.69909999999999994</v>
      </c>
      <c r="M14" s="8"/>
      <c r="N14" s="16"/>
      <c r="O14" s="7"/>
    </row>
    <row r="15" spans="1:18" x14ac:dyDescent="0.25">
      <c r="A15" s="9" t="s">
        <v>3</v>
      </c>
      <c r="B15">
        <v>239</v>
      </c>
      <c r="C15" s="1">
        <v>45475.5625</v>
      </c>
      <c r="D15" s="5">
        <v>5509.0097999999998</v>
      </c>
      <c r="E15" s="6">
        <f xml:space="preserve"> IFERROR(Price_Data[[#This Row],[Close Price]]-D14,0)</f>
        <v>-28.010200000000623</v>
      </c>
      <c r="F15" s="4">
        <f>_xlfn.LET(_xlpm.current,Price_Data[[#This Row],[Close Price]],_xlpm.prev,Price_Data[[#This Row],[Close Price]]-Price_Data[[#This Row],[Price Change]],LOG(_xlpm.current/_xlpm.prev))</f>
        <v>-2.2025472664582522E-3</v>
      </c>
      <c r="H15" s="11">
        <v>8</v>
      </c>
      <c r="I15" t="s">
        <v>30</v>
      </c>
      <c r="J15" s="11">
        <v>1057</v>
      </c>
      <c r="K15" s="12">
        <v>0.1057</v>
      </c>
      <c r="L15" s="8">
        <f t="shared" si="0"/>
        <v>0.80479999999999996</v>
      </c>
      <c r="M15" s="8"/>
      <c r="N15" s="16"/>
      <c r="O15" s="7"/>
    </row>
    <row r="16" spans="1:18" x14ac:dyDescent="0.25">
      <c r="A16" s="9" t="s">
        <v>3</v>
      </c>
      <c r="B16">
        <v>238</v>
      </c>
      <c r="C16" s="1">
        <v>45474.5625</v>
      </c>
      <c r="D16" s="5">
        <v>5475.0897999999997</v>
      </c>
      <c r="E16" s="6">
        <f xml:space="preserve"> IFERROR(Price_Data[[#This Row],[Close Price]]-D15,0)</f>
        <v>-33.920000000000073</v>
      </c>
      <c r="F16" s="4">
        <f>_xlfn.LET(_xlpm.current,Price_Data[[#This Row],[Close Price]],_xlpm.prev,Price_Data[[#This Row],[Close Price]]-Price_Data[[#This Row],[Price Change]],LOG(_xlpm.current/_xlpm.prev))</f>
        <v>-2.6822982657587488E-3</v>
      </c>
      <c r="H16" s="11">
        <v>9</v>
      </c>
      <c r="I16" t="s">
        <v>31</v>
      </c>
      <c r="J16" s="11">
        <v>947</v>
      </c>
      <c r="K16" s="12">
        <v>9.4700000000000006E-2</v>
      </c>
      <c r="L16" s="8">
        <f t="shared" si="0"/>
        <v>0.89949999999999997</v>
      </c>
      <c r="M16" s="8"/>
      <c r="N16" s="16"/>
      <c r="O16" s="7"/>
    </row>
    <row r="17" spans="1:19" x14ac:dyDescent="0.25">
      <c r="A17" s="9" t="s">
        <v>3</v>
      </c>
      <c r="B17">
        <v>237</v>
      </c>
      <c r="C17" s="1">
        <v>45471.5625</v>
      </c>
      <c r="D17" s="5">
        <v>5460.48</v>
      </c>
      <c r="E17" s="6">
        <f xml:space="preserve"> IFERROR(Price_Data[[#This Row],[Close Price]]-D16,0)</f>
        <v>-14.609800000000178</v>
      </c>
      <c r="F17" s="4">
        <f>_xlfn.LET(_xlpm.current,Price_Data[[#This Row],[Close Price]],_xlpm.prev,Price_Data[[#This Row],[Close Price]]-Price_Data[[#This Row],[Price Change]],LOG(_xlpm.current/_xlpm.prev))</f>
        <v>-1.16042591519651E-3</v>
      </c>
      <c r="H17" s="11">
        <v>10</v>
      </c>
      <c r="I17" t="s">
        <v>32</v>
      </c>
      <c r="J17" s="11">
        <v>1005</v>
      </c>
      <c r="K17" s="12">
        <v>0.10050000000000001</v>
      </c>
      <c r="L17" s="8">
        <f t="shared" si="0"/>
        <v>1</v>
      </c>
      <c r="M17" s="8"/>
      <c r="N17" s="16"/>
    </row>
    <row r="18" spans="1:19" x14ac:dyDescent="0.25">
      <c r="A18" s="9" t="s">
        <v>3</v>
      </c>
      <c r="B18">
        <v>236</v>
      </c>
      <c r="C18" s="1">
        <v>45470.5625</v>
      </c>
      <c r="D18" s="5">
        <v>5482.8701000000001</v>
      </c>
      <c r="E18" s="6">
        <f xml:space="preserve"> IFERROR(Price_Data[[#This Row],[Close Price]]-D17,0)</f>
        <v>22.39010000000053</v>
      </c>
      <c r="F18" s="4">
        <f>_xlfn.LET(_xlpm.current,Price_Data[[#This Row],[Close Price]],_xlpm.prev,Price_Data[[#This Row],[Close Price]]-Price_Data[[#This Row],[Price Change]],LOG(_xlpm.current/_xlpm.prev))</f>
        <v>1.7771359517697379E-3</v>
      </c>
    </row>
    <row r="19" spans="1:19" x14ac:dyDescent="0.25">
      <c r="A19" s="9" t="s">
        <v>3</v>
      </c>
      <c r="B19">
        <v>235</v>
      </c>
      <c r="C19" s="1">
        <v>45469.5625</v>
      </c>
      <c r="D19" s="5">
        <v>5477.8999000000003</v>
      </c>
      <c r="E19" s="6">
        <f xml:space="preserve"> IFERROR(Price_Data[[#This Row],[Close Price]]-D18,0)</f>
        <v>-4.9701999999997497</v>
      </c>
      <c r="F19" s="4">
        <f>_xlfn.LET(_xlpm.current,Price_Data[[#This Row],[Close Price]],_xlpm.prev,Price_Data[[#This Row],[Close Price]]-Price_Data[[#This Row],[Price Change]],LOG(_xlpm.current/_xlpm.prev))</f>
        <v>-3.9386477079641238E-4</v>
      </c>
      <c r="N19" s="17" t="s">
        <v>17</v>
      </c>
      <c r="O19" s="18"/>
      <c r="P19" s="18"/>
      <c r="Q19" s="18"/>
      <c r="R19" s="18"/>
      <c r="S19" s="18"/>
    </row>
    <row r="20" spans="1:19" x14ac:dyDescent="0.25">
      <c r="A20" s="9" t="s">
        <v>3</v>
      </c>
      <c r="B20">
        <v>234</v>
      </c>
      <c r="C20" s="1">
        <v>45468.5625</v>
      </c>
      <c r="D20" s="5">
        <v>5469.2997999999998</v>
      </c>
      <c r="E20" s="6">
        <f xml:space="preserve"> IFERROR(Price_Data[[#This Row],[Close Price]]-D19,0)</f>
        <v>-8.6001000000005661</v>
      </c>
      <c r="F20" s="4">
        <f>_xlfn.LET(_xlpm.current,Price_Data[[#This Row],[Close Price]],_xlpm.prev,Price_Data[[#This Row],[Close Price]]-Price_Data[[#This Row],[Price Change]],LOG(_xlpm.current/_xlpm.prev))</f>
        <v>-6.8236203678307013E-4</v>
      </c>
      <c r="N20" s="18" t="str">
        <f>_xlfn.CONCAT("80% confidence that in ",I5," Days, the returns will be within the range of ",ROUND(0.92,2),"% and ",ROUND(1.066,2),"%")</f>
        <v>80% confidence that in 30 Days, the returns will be within the range of 0.92% and 1.07%</v>
      </c>
      <c r="O20" s="18"/>
      <c r="P20" s="18"/>
      <c r="Q20" s="18"/>
      <c r="R20" s="18"/>
      <c r="S20" s="18"/>
    </row>
    <row r="21" spans="1:19" x14ac:dyDescent="0.25">
      <c r="A21" s="9" t="s">
        <v>3</v>
      </c>
      <c r="B21">
        <v>233</v>
      </c>
      <c r="C21" s="1">
        <v>45467.5625</v>
      </c>
      <c r="D21" s="5">
        <v>5447.8701000000001</v>
      </c>
      <c r="E21" s="6">
        <f xml:space="preserve"> IFERROR(Price_Data[[#This Row],[Close Price]]-D20,0)</f>
        <v>-21.429699999999684</v>
      </c>
      <c r="F21" s="4">
        <f>_xlfn.LET(_xlpm.current,Price_Data[[#This Row],[Close Price]],_xlpm.prev,Price_Data[[#This Row],[Close Price]]-Price_Data[[#This Row],[Price Change]],LOG(_xlpm.current/_xlpm.prev))</f>
        <v>-1.7049862734594661E-3</v>
      </c>
      <c r="N21" s="18" t="s">
        <v>33</v>
      </c>
      <c r="O21" s="18"/>
      <c r="P21" s="18"/>
      <c r="Q21" s="18"/>
      <c r="R21" s="18"/>
      <c r="S21" s="18"/>
    </row>
    <row r="22" spans="1:19" x14ac:dyDescent="0.25">
      <c r="A22" s="9" t="s">
        <v>3</v>
      </c>
      <c r="B22">
        <v>232</v>
      </c>
      <c r="C22" s="1">
        <v>45464.5625</v>
      </c>
      <c r="D22" s="5">
        <v>5464.6201000000001</v>
      </c>
      <c r="E22" s="6">
        <f xml:space="preserve"> IFERROR(Price_Data[[#This Row],[Close Price]]-D21,0)</f>
        <v>16.75</v>
      </c>
      <c r="F22" s="4">
        <f>_xlfn.LET(_xlpm.current,Price_Data[[#This Row],[Close Price]],_xlpm.prev,Price_Data[[#This Row],[Close Price]]-Price_Data[[#This Row],[Price Change]],LOG(_xlpm.current/_xlpm.prev))</f>
        <v>1.333231581702343E-3</v>
      </c>
      <c r="N22" s="18" t="s">
        <v>34</v>
      </c>
      <c r="O22" s="18"/>
      <c r="P22" s="18"/>
      <c r="Q22" s="18"/>
      <c r="R22" s="18"/>
      <c r="S22" s="18"/>
    </row>
    <row r="23" spans="1:19" x14ac:dyDescent="0.25">
      <c r="A23" s="9" t="s">
        <v>3</v>
      </c>
      <c r="B23">
        <v>231</v>
      </c>
      <c r="C23" s="1">
        <v>45463.5625</v>
      </c>
      <c r="D23" s="5">
        <v>5473.1698999999999</v>
      </c>
      <c r="E23" s="6">
        <f xml:space="preserve"> IFERROR(Price_Data[[#This Row],[Close Price]]-D22,0)</f>
        <v>8.5497999999997774</v>
      </c>
      <c r="F23" s="4">
        <f>_xlfn.LET(_xlpm.current,Price_Data[[#This Row],[Close Price]],_xlpm.prev,Price_Data[[#This Row],[Close Price]]-Price_Data[[#This Row],[Price Change]],LOG(_xlpm.current/_xlpm.prev))</f>
        <v>6.7895465494174521E-4</v>
      </c>
    </row>
    <row r="24" spans="1:19" x14ac:dyDescent="0.25">
      <c r="A24" s="9" t="s">
        <v>3</v>
      </c>
      <c r="B24">
        <v>230</v>
      </c>
      <c r="C24" s="1">
        <v>45461.5625</v>
      </c>
      <c r="D24" s="5">
        <v>5487.0298000000003</v>
      </c>
      <c r="E24" s="6">
        <f xml:space="preserve"> IFERROR(Price_Data[[#This Row],[Close Price]]-D23,0)</f>
        <v>13.85990000000038</v>
      </c>
      <c r="F24" s="4">
        <f>_xlfn.LET(_xlpm.current,Price_Data[[#This Row],[Close Price]],_xlpm.prev,Price_Data[[#This Row],[Close Price]]-Price_Data[[#This Row],[Price Change]],LOG(_xlpm.current/_xlpm.prev))</f>
        <v>1.0983889825048542E-3</v>
      </c>
    </row>
    <row r="25" spans="1:19" x14ac:dyDescent="0.25">
      <c r="A25" s="9" t="s">
        <v>3</v>
      </c>
      <c r="B25">
        <v>229</v>
      </c>
      <c r="C25" s="1">
        <v>45460.5625</v>
      </c>
      <c r="D25" s="5">
        <v>5473.23</v>
      </c>
      <c r="E25" s="6">
        <f xml:space="preserve"> IFERROR(Price_Data[[#This Row],[Close Price]]-D24,0)</f>
        <v>-13.799800000000687</v>
      </c>
      <c r="F25" s="4">
        <f>_xlfn.LET(_xlpm.current,Price_Data[[#This Row],[Close Price]],_xlpm.prev,Price_Data[[#This Row],[Close Price]]-Price_Data[[#This Row],[Price Change]],LOG(_xlpm.current/_xlpm.prev))</f>
        <v>-1.0936200907046289E-3</v>
      </c>
    </row>
    <row r="26" spans="1:19" x14ac:dyDescent="0.25">
      <c r="A26" s="9" t="s">
        <v>3</v>
      </c>
      <c r="B26">
        <v>228</v>
      </c>
      <c r="C26" s="1">
        <v>45457.5625</v>
      </c>
      <c r="D26" s="5">
        <v>5431.6000999999997</v>
      </c>
      <c r="E26" s="6">
        <f xml:space="preserve"> IFERROR(Price_Data[[#This Row],[Close Price]]-D25,0)</f>
        <v>-41.629899999999907</v>
      </c>
      <c r="F26" s="4">
        <f>_xlfn.LET(_xlpm.current,Price_Data[[#This Row],[Close Price]],_xlpm.prev,Price_Data[[#This Row],[Close Price]]-Price_Data[[#This Row],[Price Change]],LOG(_xlpm.current/_xlpm.prev))</f>
        <v>-3.3159111177060389E-3</v>
      </c>
    </row>
    <row r="27" spans="1:19" x14ac:dyDescent="0.25">
      <c r="A27" s="9" t="s">
        <v>3</v>
      </c>
      <c r="B27">
        <v>227</v>
      </c>
      <c r="C27" s="1">
        <v>45456.5625</v>
      </c>
      <c r="D27" s="5">
        <v>5433.7402000000002</v>
      </c>
      <c r="E27" s="6">
        <f xml:space="preserve"> IFERROR(Price_Data[[#This Row],[Close Price]]-D26,0)</f>
        <v>2.1401000000005297</v>
      </c>
      <c r="F27" s="4">
        <f>_xlfn.LET(_xlpm.current,Price_Data[[#This Row],[Close Price]],_xlpm.prev,Price_Data[[#This Row],[Close Price]]-Price_Data[[#This Row],[Price Change]],LOG(_xlpm.current/_xlpm.prev))</f>
        <v>1.7108228680892955E-4</v>
      </c>
    </row>
    <row r="28" spans="1:19" x14ac:dyDescent="0.25">
      <c r="A28" s="9" t="s">
        <v>3</v>
      </c>
      <c r="B28">
        <v>226</v>
      </c>
      <c r="C28" s="1">
        <v>45455.5625</v>
      </c>
      <c r="D28" s="5">
        <v>5421.0298000000003</v>
      </c>
      <c r="E28" s="6">
        <f xml:space="preserve"> IFERROR(Price_Data[[#This Row],[Close Price]]-D27,0)</f>
        <v>-12.710399999999936</v>
      </c>
      <c r="F28" s="4">
        <f>_xlfn.LET(_xlpm.current,Price_Data[[#This Row],[Close Price]],_xlpm.prev,Price_Data[[#This Row],[Close Price]]-Price_Data[[#This Row],[Price Change]],LOG(_xlpm.current/_xlpm.prev))</f>
        <v>-1.0170752776303684E-3</v>
      </c>
    </row>
    <row r="29" spans="1:19" x14ac:dyDescent="0.25">
      <c r="A29" s="9" t="s">
        <v>3</v>
      </c>
      <c r="B29">
        <v>225</v>
      </c>
      <c r="C29" s="1">
        <v>45454.5625</v>
      </c>
      <c r="D29" s="5">
        <v>5375.3198000000002</v>
      </c>
      <c r="E29" s="6">
        <f xml:space="preserve"> IFERROR(Price_Data[[#This Row],[Close Price]]-D28,0)</f>
        <v>-45.710000000000036</v>
      </c>
      <c r="F29" s="4">
        <f>_xlfn.LET(_xlpm.current,Price_Data[[#This Row],[Close Price]],_xlpm.prev,Price_Data[[#This Row],[Close Price]]-Price_Data[[#This Row],[Price Change]],LOG(_xlpm.current/_xlpm.prev))</f>
        <v>-3.6774873212618536E-3</v>
      </c>
    </row>
    <row r="30" spans="1:19" x14ac:dyDescent="0.25">
      <c r="A30" s="9" t="s">
        <v>3</v>
      </c>
      <c r="B30">
        <v>224</v>
      </c>
      <c r="C30" s="1">
        <v>45453.5625</v>
      </c>
      <c r="D30" s="5">
        <v>5360.79</v>
      </c>
      <c r="E30" s="6">
        <f xml:space="preserve"> IFERROR(Price_Data[[#This Row],[Close Price]]-D29,0)</f>
        <v>-14.52980000000025</v>
      </c>
      <c r="F30" s="4">
        <f>_xlfn.LET(_xlpm.current,Price_Data[[#This Row],[Close Price]],_xlpm.prev,Price_Data[[#This Row],[Close Price]]-Price_Data[[#This Row],[Price Change]],LOG(_xlpm.current/_xlpm.prev))</f>
        <v>-1.1755125335454831E-3</v>
      </c>
    </row>
    <row r="31" spans="1:19" x14ac:dyDescent="0.25">
      <c r="A31" s="9" t="s">
        <v>3</v>
      </c>
      <c r="B31">
        <v>223</v>
      </c>
      <c r="C31" s="1">
        <v>45450.5625</v>
      </c>
      <c r="D31" s="5">
        <v>5346.9902000000002</v>
      </c>
      <c r="E31" s="6">
        <f xml:space="preserve"> IFERROR(Price_Data[[#This Row],[Close Price]]-D30,0)</f>
        <v>-13.799799999999777</v>
      </c>
      <c r="F31" s="4">
        <f>_xlfn.LET(_xlpm.current,Price_Data[[#This Row],[Close Price]],_xlpm.prev,Price_Data[[#This Row],[Close Price]]-Price_Data[[#This Row],[Price Change]],LOG(_xlpm.current/_xlpm.prev))</f>
        <v>-1.1194066739283039E-3</v>
      </c>
    </row>
    <row r="32" spans="1:19" x14ac:dyDescent="0.25">
      <c r="A32" s="9" t="s">
        <v>3</v>
      </c>
      <c r="B32">
        <v>222</v>
      </c>
      <c r="C32" s="1">
        <v>45449.5625</v>
      </c>
      <c r="D32" s="5">
        <v>5352.96</v>
      </c>
      <c r="E32" s="6">
        <f xml:space="preserve"> IFERROR(Price_Data[[#This Row],[Close Price]]-D31,0)</f>
        <v>5.9697999999998501</v>
      </c>
      <c r="F32" s="4">
        <f>_xlfn.LET(_xlpm.current,Price_Data[[#This Row],[Close Price]],_xlpm.prev,Price_Data[[#This Row],[Close Price]]-Price_Data[[#This Row],[Price Change]],LOG(_xlpm.current/_xlpm.prev))</f>
        <v>4.8461000633116688E-4</v>
      </c>
    </row>
    <row r="33" spans="1:6" x14ac:dyDescent="0.25">
      <c r="A33" s="9" t="s">
        <v>3</v>
      </c>
      <c r="B33">
        <v>221</v>
      </c>
      <c r="C33" s="1">
        <v>45448.5625</v>
      </c>
      <c r="D33" s="5">
        <v>5354.0298000000003</v>
      </c>
      <c r="E33" s="6">
        <f xml:space="preserve"> IFERROR(Price_Data[[#This Row],[Close Price]]-D32,0)</f>
        <v>1.0698000000002139</v>
      </c>
      <c r="F33" s="4">
        <f>_xlfn.LET(_xlpm.current,Price_Data[[#This Row],[Close Price]],_xlpm.prev,Price_Data[[#This Row],[Close Price]]-Price_Data[[#This Row],[Price Change]],LOG(_xlpm.current/_xlpm.prev))</f>
        <v>8.6785968225408611E-5</v>
      </c>
    </row>
    <row r="34" spans="1:6" x14ac:dyDescent="0.25">
      <c r="A34" s="9" t="s">
        <v>3</v>
      </c>
      <c r="B34">
        <v>220</v>
      </c>
      <c r="C34" s="1">
        <v>45447.5625</v>
      </c>
      <c r="D34" s="5">
        <v>5291.3397999999997</v>
      </c>
      <c r="E34" s="6">
        <f xml:space="preserve"> IFERROR(Price_Data[[#This Row],[Close Price]]-D33,0)</f>
        <v>-62.690000000000509</v>
      </c>
      <c r="F34" s="4">
        <f>_xlfn.LET(_xlpm.current,Price_Data[[#This Row],[Close Price]],_xlpm.prev,Price_Data[[#This Row],[Close Price]]-Price_Data[[#This Row],[Price Change]],LOG(_xlpm.current/_xlpm.prev))</f>
        <v>-5.1151320863082606E-3</v>
      </c>
    </row>
    <row r="35" spans="1:6" x14ac:dyDescent="0.25">
      <c r="A35" s="9" t="s">
        <v>3</v>
      </c>
      <c r="B35">
        <v>219</v>
      </c>
      <c r="C35" s="1">
        <v>45446.5625</v>
      </c>
      <c r="D35" s="5">
        <v>5283.3999000000003</v>
      </c>
      <c r="E35" s="6">
        <f xml:space="preserve"> IFERROR(Price_Data[[#This Row],[Close Price]]-D34,0)</f>
        <v>-7.9398999999993976</v>
      </c>
      <c r="F35" s="4">
        <f>_xlfn.LET(_xlpm.current,Price_Data[[#This Row],[Close Price]],_xlpm.prev,Price_Data[[#This Row],[Close Price]]-Price_Data[[#This Row],[Price Change]],LOG(_xlpm.current/_xlpm.prev))</f>
        <v>-6.5216837533207679E-4</v>
      </c>
    </row>
    <row r="36" spans="1:6" x14ac:dyDescent="0.25">
      <c r="A36" s="9" t="s">
        <v>3</v>
      </c>
      <c r="B36">
        <v>218</v>
      </c>
      <c r="C36" s="1">
        <v>45443.5625</v>
      </c>
      <c r="D36" s="5">
        <v>5277.5097999999998</v>
      </c>
      <c r="E36" s="6">
        <f xml:space="preserve"> IFERROR(Price_Data[[#This Row],[Close Price]]-D35,0)</f>
        <v>-5.8901000000005297</v>
      </c>
      <c r="F36" s="4">
        <f>_xlfn.LET(_xlpm.current,Price_Data[[#This Row],[Close Price]],_xlpm.prev,Price_Data[[#This Row],[Close Price]]-Price_Data[[#This Row],[Price Change]],LOG(_xlpm.current/_xlpm.prev))</f>
        <v>-4.8443519843601113E-4</v>
      </c>
    </row>
    <row r="37" spans="1:6" x14ac:dyDescent="0.25">
      <c r="A37" s="9" t="s">
        <v>3</v>
      </c>
      <c r="B37">
        <v>217</v>
      </c>
      <c r="C37" s="1">
        <v>45442.5625</v>
      </c>
      <c r="D37" s="5">
        <v>5235.4799999999996</v>
      </c>
      <c r="E37" s="6">
        <f xml:space="preserve"> IFERROR(Price_Data[[#This Row],[Close Price]]-D36,0)</f>
        <v>-42.02980000000025</v>
      </c>
      <c r="F37" s="4">
        <f>_xlfn.LET(_xlpm.current,Price_Data[[#This Row],[Close Price]],_xlpm.prev,Price_Data[[#This Row],[Close Price]]-Price_Data[[#This Row],[Price Change]],LOG(_xlpm.current/_xlpm.prev))</f>
        <v>-3.4725435508074138E-3</v>
      </c>
    </row>
    <row r="38" spans="1:6" x14ac:dyDescent="0.25">
      <c r="A38" s="9" t="s">
        <v>3</v>
      </c>
      <c r="B38">
        <v>216</v>
      </c>
      <c r="C38" s="1">
        <v>45441.5625</v>
      </c>
      <c r="D38" s="5">
        <v>5266.9502000000002</v>
      </c>
      <c r="E38" s="6">
        <f xml:space="preserve"> IFERROR(Price_Data[[#This Row],[Close Price]]-D37,0)</f>
        <v>31.470200000000659</v>
      </c>
      <c r="F38" s="4">
        <f>_xlfn.LET(_xlpm.current,Price_Data[[#This Row],[Close Price]],_xlpm.prev,Price_Data[[#This Row],[Close Price]]-Price_Data[[#This Row],[Price Change]],LOG(_xlpm.current/_xlpm.prev))</f>
        <v>2.6027071544139141E-3</v>
      </c>
    </row>
    <row r="39" spans="1:6" x14ac:dyDescent="0.25">
      <c r="A39" s="9" t="s">
        <v>3</v>
      </c>
      <c r="B39">
        <v>215</v>
      </c>
      <c r="C39" s="1">
        <v>45440.5625</v>
      </c>
      <c r="D39" s="5">
        <v>5306.04</v>
      </c>
      <c r="E39" s="6">
        <f xml:space="preserve"> IFERROR(Price_Data[[#This Row],[Close Price]]-D38,0)</f>
        <v>39.089799999999741</v>
      </c>
      <c r="F39" s="4">
        <f>_xlfn.LET(_xlpm.current,Price_Data[[#This Row],[Close Price]],_xlpm.prev,Price_Data[[#This Row],[Close Price]]-Price_Data[[#This Row],[Price Change]],LOG(_xlpm.current/_xlpm.prev))</f>
        <v>3.2113075804945713E-3</v>
      </c>
    </row>
    <row r="40" spans="1:6" x14ac:dyDescent="0.25">
      <c r="A40" s="9" t="s">
        <v>3</v>
      </c>
      <c r="B40">
        <v>214</v>
      </c>
      <c r="C40" s="1">
        <v>45436.5625</v>
      </c>
      <c r="D40" s="5">
        <v>5304.7201999999997</v>
      </c>
      <c r="E40" s="6">
        <f xml:space="preserve"> IFERROR(Price_Data[[#This Row],[Close Price]]-D39,0)</f>
        <v>-1.3198000000002139</v>
      </c>
      <c r="F40" s="4">
        <f>_xlfn.LET(_xlpm.current,Price_Data[[#This Row],[Close Price]],_xlpm.prev,Price_Data[[#This Row],[Close Price]]-Price_Data[[#This Row],[Price Change]],LOG(_xlpm.current/_xlpm.prev))</f>
        <v>-1.0803785013856341E-4</v>
      </c>
    </row>
    <row r="41" spans="1:6" x14ac:dyDescent="0.25">
      <c r="A41" s="9" t="s">
        <v>3</v>
      </c>
      <c r="B41">
        <v>213</v>
      </c>
      <c r="C41" s="1">
        <v>45435.5625</v>
      </c>
      <c r="D41" s="5">
        <v>5267.8397999999997</v>
      </c>
      <c r="E41" s="6">
        <f xml:space="preserve"> IFERROR(Price_Data[[#This Row],[Close Price]]-D40,0)</f>
        <v>-36.880400000000009</v>
      </c>
      <c r="F41" s="4">
        <f>_xlfn.LET(_xlpm.current,Price_Data[[#This Row],[Close Price]],_xlpm.prev,Price_Data[[#This Row],[Close Price]]-Price_Data[[#This Row],[Price Change]],LOG(_xlpm.current/_xlpm.prev))</f>
        <v>-3.0299225877894417E-3</v>
      </c>
    </row>
    <row r="42" spans="1:6" x14ac:dyDescent="0.25">
      <c r="A42" s="9" t="s">
        <v>3</v>
      </c>
      <c r="B42">
        <v>212</v>
      </c>
      <c r="C42" s="1">
        <v>45434.5625</v>
      </c>
      <c r="D42" s="5">
        <v>5307.0097999999998</v>
      </c>
      <c r="E42" s="6">
        <f xml:space="preserve"> IFERROR(Price_Data[[#This Row],[Close Price]]-D41,0)</f>
        <v>39.170000000000073</v>
      </c>
      <c r="F42" s="4">
        <f>_xlfn.LET(_xlpm.current,Price_Data[[#This Row],[Close Price]],_xlpm.prev,Price_Data[[#This Row],[Close Price]]-Price_Data[[#This Row],[Price Change]],LOG(_xlpm.current/_xlpm.prev))</f>
        <v>3.2173304206679181E-3</v>
      </c>
    </row>
    <row r="43" spans="1:6" x14ac:dyDescent="0.25">
      <c r="A43" s="9" t="s">
        <v>3</v>
      </c>
      <c r="B43">
        <v>211</v>
      </c>
      <c r="C43" s="1">
        <v>45433.5625</v>
      </c>
      <c r="D43" s="5">
        <v>5321.4102000000003</v>
      </c>
      <c r="E43" s="6">
        <f xml:space="preserve"> IFERROR(Price_Data[[#This Row],[Close Price]]-D42,0)</f>
        <v>14.400400000000445</v>
      </c>
      <c r="F43" s="4">
        <f>_xlfn.LET(_xlpm.current,Price_Data[[#This Row],[Close Price]],_xlpm.prev,Price_Data[[#This Row],[Close Price]]-Price_Data[[#This Row],[Price Change]],LOG(_xlpm.current/_xlpm.prev))</f>
        <v>1.1768481268379272E-3</v>
      </c>
    </row>
    <row r="44" spans="1:6" x14ac:dyDescent="0.25">
      <c r="A44" s="9" t="s">
        <v>3</v>
      </c>
      <c r="B44">
        <v>210</v>
      </c>
      <c r="C44" s="1">
        <v>45432.5625</v>
      </c>
      <c r="D44" s="5">
        <v>5308.1298999999999</v>
      </c>
      <c r="E44" s="6">
        <f xml:space="preserve"> IFERROR(Price_Data[[#This Row],[Close Price]]-D43,0)</f>
        <v>-13.280300000000352</v>
      </c>
      <c r="F44" s="4">
        <f>_xlfn.LET(_xlpm.current,Price_Data[[#This Row],[Close Price]],_xlpm.prev,Price_Data[[#This Row],[Close Price]]-Price_Data[[#This Row],[Price Change]],LOG(_xlpm.current/_xlpm.prev))</f>
        <v>-1.0851953997456486E-3</v>
      </c>
    </row>
    <row r="45" spans="1:6" x14ac:dyDescent="0.25">
      <c r="A45" s="9" t="s">
        <v>3</v>
      </c>
      <c r="B45">
        <v>209</v>
      </c>
      <c r="C45" s="1">
        <v>45429.5625</v>
      </c>
      <c r="D45" s="5">
        <v>5303.27</v>
      </c>
      <c r="E45" s="6">
        <f xml:space="preserve"> IFERROR(Price_Data[[#This Row],[Close Price]]-D44,0)</f>
        <v>-4.8598999999994703</v>
      </c>
      <c r="F45" s="4">
        <f>_xlfn.LET(_xlpm.current,Price_Data[[#This Row],[Close Price]],_xlpm.prev,Price_Data[[#This Row],[Close Price]]-Price_Data[[#This Row],[Price Change]],LOG(_xlpm.current/_xlpm.prev))</f>
        <v>-3.9780385624178148E-4</v>
      </c>
    </row>
    <row r="46" spans="1:6" x14ac:dyDescent="0.25">
      <c r="A46" s="9" t="s">
        <v>3</v>
      </c>
      <c r="B46">
        <v>208</v>
      </c>
      <c r="C46" s="1">
        <v>45428.5625</v>
      </c>
      <c r="D46" s="5">
        <v>5297.1000999999997</v>
      </c>
      <c r="E46" s="6">
        <f xml:space="preserve"> IFERROR(Price_Data[[#This Row],[Close Price]]-D45,0)</f>
        <v>-6.16990000000078</v>
      </c>
      <c r="F46" s="4">
        <f>_xlfn.LET(_xlpm.current,Price_Data[[#This Row],[Close Price]],_xlpm.prev,Price_Data[[#This Row],[Close Price]]-Price_Data[[#This Row],[Price Change]],LOG(_xlpm.current/_xlpm.prev))</f>
        <v>-5.0555854205240212E-4</v>
      </c>
    </row>
    <row r="47" spans="1:6" x14ac:dyDescent="0.25">
      <c r="A47" s="9" t="s">
        <v>3</v>
      </c>
      <c r="B47">
        <v>207</v>
      </c>
      <c r="C47" s="1">
        <v>45427.5625</v>
      </c>
      <c r="D47" s="5">
        <v>5308.1499000000003</v>
      </c>
      <c r="E47" s="6">
        <f xml:space="preserve"> IFERROR(Price_Data[[#This Row],[Close Price]]-D46,0)</f>
        <v>11.049800000000687</v>
      </c>
      <c r="F47" s="4">
        <f>_xlfn.LET(_xlpm.current,Price_Data[[#This Row],[Close Price]],_xlpm.prev,Price_Data[[#This Row],[Close Price]]-Price_Data[[#This Row],[Price Change]],LOG(_xlpm.current/_xlpm.prev))</f>
        <v>9.0499873226460839E-4</v>
      </c>
    </row>
    <row r="48" spans="1:6" x14ac:dyDescent="0.25">
      <c r="A48" s="9" t="s">
        <v>3</v>
      </c>
      <c r="B48">
        <v>206</v>
      </c>
      <c r="C48" s="1">
        <v>45426.5625</v>
      </c>
      <c r="D48" s="5">
        <v>5246.6801999999998</v>
      </c>
      <c r="E48" s="6">
        <f xml:space="preserve"> IFERROR(Price_Data[[#This Row],[Close Price]]-D47,0)</f>
        <v>-61.469700000000557</v>
      </c>
      <c r="F48" s="4">
        <f>_xlfn.LET(_xlpm.current,Price_Data[[#This Row],[Close Price]],_xlpm.prev,Price_Data[[#This Row],[Close Price]]-Price_Data[[#This Row],[Price Change]],LOG(_xlpm.current/_xlpm.prev))</f>
        <v>-5.0585851377166046E-3</v>
      </c>
    </row>
    <row r="49" spans="1:6" x14ac:dyDescent="0.25">
      <c r="A49" s="9" t="s">
        <v>3</v>
      </c>
      <c r="B49">
        <v>205</v>
      </c>
      <c r="C49" s="1">
        <v>45425.5625</v>
      </c>
      <c r="D49" s="5">
        <v>5221.4198999999999</v>
      </c>
      <c r="E49" s="6">
        <f xml:space="preserve"> IFERROR(Price_Data[[#This Row],[Close Price]]-D48,0)</f>
        <v>-25.260299999999916</v>
      </c>
      <c r="F49" s="4">
        <f>_xlfn.LET(_xlpm.current,Price_Data[[#This Row],[Close Price]],_xlpm.prev,Price_Data[[#This Row],[Close Price]]-Price_Data[[#This Row],[Price Change]],LOG(_xlpm.current/_xlpm.prev))</f>
        <v>-2.0959734984934658E-3</v>
      </c>
    </row>
    <row r="50" spans="1:6" x14ac:dyDescent="0.25">
      <c r="A50" s="9" t="s">
        <v>3</v>
      </c>
      <c r="B50">
        <v>204</v>
      </c>
      <c r="C50" s="1">
        <v>45422.5625</v>
      </c>
      <c r="D50" s="5">
        <v>5222.6801999999998</v>
      </c>
      <c r="E50" s="6">
        <f xml:space="preserve"> IFERROR(Price_Data[[#This Row],[Close Price]]-D49,0)</f>
        <v>1.2602999999999156</v>
      </c>
      <c r="F50" s="4">
        <f>_xlfn.LET(_xlpm.current,Price_Data[[#This Row],[Close Price]],_xlpm.prev,Price_Data[[#This Row],[Close Price]]-Price_Data[[#This Row],[Price Change]],LOG(_xlpm.current/_xlpm.prev))</f>
        <v>1.0481349909686978E-4</v>
      </c>
    </row>
    <row r="51" spans="1:6" x14ac:dyDescent="0.25">
      <c r="A51" s="9" t="s">
        <v>3</v>
      </c>
      <c r="B51">
        <v>203</v>
      </c>
      <c r="C51" s="1">
        <v>45421.5625</v>
      </c>
      <c r="D51" s="5">
        <v>5214.0801000000001</v>
      </c>
      <c r="E51" s="6">
        <f xml:space="preserve"> IFERROR(Price_Data[[#This Row],[Close Price]]-D50,0)</f>
        <v>-8.6000999999996566</v>
      </c>
      <c r="F51" s="4">
        <f>_xlfn.LET(_xlpm.current,Price_Data[[#This Row],[Close Price]],_xlpm.prev,Price_Data[[#This Row],[Close Price]]-Price_Data[[#This Row],[Price Change]],LOG(_xlpm.current/_xlpm.prev))</f>
        <v>-7.1573490466713438E-4</v>
      </c>
    </row>
    <row r="52" spans="1:6" x14ac:dyDescent="0.25">
      <c r="A52" s="9" t="s">
        <v>3</v>
      </c>
      <c r="B52">
        <v>202</v>
      </c>
      <c r="C52" s="1">
        <v>45420.5625</v>
      </c>
      <c r="D52" s="5">
        <v>5187.6698999999999</v>
      </c>
      <c r="E52" s="6">
        <f xml:space="preserve"> IFERROR(Price_Data[[#This Row],[Close Price]]-D51,0)</f>
        <v>-26.410200000000259</v>
      </c>
      <c r="F52" s="4">
        <f>_xlfn.LET(_xlpm.current,Price_Data[[#This Row],[Close Price]],_xlpm.prev,Price_Data[[#This Row],[Close Price]]-Price_Data[[#This Row],[Price Change]],LOG(_xlpm.current/_xlpm.prev))</f>
        <v>-2.2053652074174178E-3</v>
      </c>
    </row>
    <row r="53" spans="1:6" x14ac:dyDescent="0.25">
      <c r="A53" s="9" t="s">
        <v>3</v>
      </c>
      <c r="B53">
        <v>201</v>
      </c>
      <c r="C53" s="1">
        <v>45419.5625</v>
      </c>
      <c r="D53" s="5">
        <v>5187.7002000000002</v>
      </c>
      <c r="E53" s="6">
        <f xml:space="preserve"> IFERROR(Price_Data[[#This Row],[Close Price]]-D52,0)</f>
        <v>3.0300000000352156E-2</v>
      </c>
      <c r="F53" s="4">
        <f>_xlfn.LET(_xlpm.current,Price_Data[[#This Row],[Close Price]],_xlpm.prev,Price_Data[[#This Row],[Close Price]]-Price_Data[[#This Row],[Price Change]],LOG(_xlpm.current/_xlpm.prev))</f>
        <v>2.5366078848214159E-6</v>
      </c>
    </row>
    <row r="54" spans="1:6" x14ac:dyDescent="0.25">
      <c r="A54" s="9" t="s">
        <v>3</v>
      </c>
      <c r="B54">
        <v>200</v>
      </c>
      <c r="C54" s="1">
        <v>45418.5625</v>
      </c>
      <c r="D54" s="5">
        <v>5180.7402000000002</v>
      </c>
      <c r="E54" s="6">
        <f xml:space="preserve"> IFERROR(Price_Data[[#This Row],[Close Price]]-D53,0)</f>
        <v>-6.9600000000000364</v>
      </c>
      <c r="F54" s="4">
        <f>_xlfn.LET(_xlpm.current,Price_Data[[#This Row],[Close Price]],_xlpm.prev,Price_Data[[#This Row],[Close Price]]-Price_Data[[#This Row],[Price Change]],LOG(_xlpm.current/_xlpm.prev))</f>
        <v>-5.8305587560791947E-4</v>
      </c>
    </row>
    <row r="55" spans="1:6" x14ac:dyDescent="0.25">
      <c r="A55" s="9" t="s">
        <v>3</v>
      </c>
      <c r="B55">
        <v>199</v>
      </c>
      <c r="C55" s="1">
        <v>45415.5625</v>
      </c>
      <c r="D55" s="5">
        <v>5127.79</v>
      </c>
      <c r="E55" s="6">
        <f xml:space="preserve"> IFERROR(Price_Data[[#This Row],[Close Price]]-D54,0)</f>
        <v>-52.950200000000223</v>
      </c>
      <c r="F55" s="4">
        <f>_xlfn.LET(_xlpm.current,Price_Data[[#This Row],[Close Price]],_xlpm.prev,Price_Data[[#This Row],[Close Price]]-Price_Data[[#This Row],[Price Change]],LOG(_xlpm.current/_xlpm.prev))</f>
        <v>-4.4615830725028794E-3</v>
      </c>
    </row>
    <row r="56" spans="1:6" x14ac:dyDescent="0.25">
      <c r="A56" s="9" t="s">
        <v>3</v>
      </c>
      <c r="B56">
        <v>198</v>
      </c>
      <c r="C56" s="1">
        <v>45414.5625</v>
      </c>
      <c r="D56" s="5">
        <v>5064.2002000000002</v>
      </c>
      <c r="E56" s="6">
        <f xml:space="preserve"> IFERROR(Price_Data[[#This Row],[Close Price]]-D55,0)</f>
        <v>-63.589799999999741</v>
      </c>
      <c r="F56" s="4">
        <f>_xlfn.LET(_xlpm.current,Price_Data[[#This Row],[Close Price]],_xlpm.prev,Price_Data[[#This Row],[Close Price]]-Price_Data[[#This Row],[Price Change]],LOG(_xlpm.current/_xlpm.prev))</f>
        <v>-5.4193650232760735E-3</v>
      </c>
    </row>
    <row r="57" spans="1:6" x14ac:dyDescent="0.25">
      <c r="A57" s="9" t="s">
        <v>3</v>
      </c>
      <c r="B57">
        <v>197</v>
      </c>
      <c r="C57" s="1">
        <v>45413.5625</v>
      </c>
      <c r="D57" s="5">
        <v>5018.3900999999996</v>
      </c>
      <c r="E57" s="6">
        <f xml:space="preserve"> IFERROR(Price_Data[[#This Row],[Close Price]]-D56,0)</f>
        <v>-45.810100000000602</v>
      </c>
      <c r="F57" s="4">
        <f>_xlfn.LET(_xlpm.current,Price_Data[[#This Row],[Close Price]],_xlpm.prev,Price_Data[[#This Row],[Close Price]]-Price_Data[[#This Row],[Price Change]],LOG(_xlpm.current/_xlpm.prev))</f>
        <v>-3.9464482746748852E-3</v>
      </c>
    </row>
    <row r="58" spans="1:6" x14ac:dyDescent="0.25">
      <c r="A58" s="9" t="s">
        <v>3</v>
      </c>
      <c r="B58">
        <v>196</v>
      </c>
      <c r="C58" s="1">
        <v>45412.5625</v>
      </c>
      <c r="D58" s="5">
        <v>5035.6899000000003</v>
      </c>
      <c r="E58" s="6">
        <f xml:space="preserve"> IFERROR(Price_Data[[#This Row],[Close Price]]-D57,0)</f>
        <v>17.299800000000687</v>
      </c>
      <c r="F58" s="4">
        <f>_xlfn.LET(_xlpm.current,Price_Data[[#This Row],[Close Price]],_xlpm.prev,Price_Data[[#This Row],[Close Price]]-Price_Data[[#This Row],[Price Change]],LOG(_xlpm.current/_xlpm.prev))</f>
        <v>1.4945604357397056E-3</v>
      </c>
    </row>
    <row r="59" spans="1:6" x14ac:dyDescent="0.25">
      <c r="A59" s="9" t="s">
        <v>3</v>
      </c>
      <c r="B59">
        <v>195</v>
      </c>
      <c r="C59" s="1">
        <v>45411.5625</v>
      </c>
      <c r="D59" s="5">
        <v>5116.1698999999999</v>
      </c>
      <c r="E59" s="6">
        <f xml:space="preserve"> IFERROR(Price_Data[[#This Row],[Close Price]]-D58,0)</f>
        <v>80.479999999999563</v>
      </c>
      <c r="F59" s="4">
        <f>_xlfn.LET(_xlpm.current,Price_Data[[#This Row],[Close Price]],_xlpm.prev,Price_Data[[#This Row],[Close Price]]-Price_Data[[#This Row],[Price Change]],LOG(_xlpm.current/_xlpm.prev))</f>
        <v>6.8859800726014447E-3</v>
      </c>
    </row>
    <row r="60" spans="1:6" x14ac:dyDescent="0.25">
      <c r="A60" s="9" t="s">
        <v>3</v>
      </c>
      <c r="B60">
        <v>194</v>
      </c>
      <c r="C60" s="1">
        <v>45408.5625</v>
      </c>
      <c r="D60" s="5">
        <v>5099.96</v>
      </c>
      <c r="E60" s="6">
        <f xml:space="preserve"> IFERROR(Price_Data[[#This Row],[Close Price]]-D59,0)</f>
        <v>-16.209899999999834</v>
      </c>
      <c r="F60" s="4">
        <f>_xlfn.LET(_xlpm.current,Price_Data[[#This Row],[Close Price]],_xlpm.prev,Price_Data[[#This Row],[Close Price]]-Price_Data[[#This Row],[Price Change]],LOG(_xlpm.current/_xlpm.prev))</f>
        <v>-1.3781884331926372E-3</v>
      </c>
    </row>
    <row r="61" spans="1:6" x14ac:dyDescent="0.25">
      <c r="A61" s="9" t="s">
        <v>3</v>
      </c>
      <c r="B61">
        <v>193</v>
      </c>
      <c r="C61" s="1">
        <v>45407.5625</v>
      </c>
      <c r="D61" s="5">
        <v>5048.4198999999999</v>
      </c>
      <c r="E61" s="6">
        <f xml:space="preserve"> IFERROR(Price_Data[[#This Row],[Close Price]]-D60,0)</f>
        <v>-51.540100000000166</v>
      </c>
      <c r="F61" s="4">
        <f>_xlfn.LET(_xlpm.current,Price_Data[[#This Row],[Close Price]],_xlpm.prev,Price_Data[[#This Row],[Close Price]]-Price_Data[[#This Row],[Price Change]],LOG(_xlpm.current/_xlpm.prev))</f>
        <v>-4.4112998714546598E-3</v>
      </c>
    </row>
    <row r="62" spans="1:6" x14ac:dyDescent="0.25">
      <c r="A62" s="9" t="s">
        <v>3</v>
      </c>
      <c r="B62">
        <v>192</v>
      </c>
      <c r="C62" s="1">
        <v>45406.5625</v>
      </c>
      <c r="D62" s="5">
        <v>5071.6298999999999</v>
      </c>
      <c r="E62" s="6">
        <f xml:space="preserve"> IFERROR(Price_Data[[#This Row],[Close Price]]-D61,0)</f>
        <v>23.210000000000036</v>
      </c>
      <c r="F62" s="4">
        <f>_xlfn.LET(_xlpm.current,Price_Data[[#This Row],[Close Price]],_xlpm.prev,Price_Data[[#This Row],[Close Price]]-Price_Data[[#This Row],[Price Change]],LOG(_xlpm.current/_xlpm.prev))</f>
        <v>1.9920835959829708E-3</v>
      </c>
    </row>
    <row r="63" spans="1:6" x14ac:dyDescent="0.25">
      <c r="A63" s="9" t="s">
        <v>3</v>
      </c>
      <c r="B63">
        <v>191</v>
      </c>
      <c r="C63" s="1">
        <v>45405.5625</v>
      </c>
      <c r="D63" s="5">
        <v>5070.5497999999998</v>
      </c>
      <c r="E63" s="6">
        <f xml:space="preserve"> IFERROR(Price_Data[[#This Row],[Close Price]]-D62,0)</f>
        <v>-1.0801000000001295</v>
      </c>
      <c r="F63" s="4">
        <f>_xlfn.LET(_xlpm.current,Price_Data[[#This Row],[Close Price]],_xlpm.prev,Price_Data[[#This Row],[Close Price]]-Price_Data[[#This Row],[Price Change]],LOG(_xlpm.current/_xlpm.prev))</f>
        <v>-9.2501116239776838E-5</v>
      </c>
    </row>
    <row r="64" spans="1:6" x14ac:dyDescent="0.25">
      <c r="A64" s="9" t="s">
        <v>3</v>
      </c>
      <c r="B64">
        <v>190</v>
      </c>
      <c r="C64" s="1">
        <v>45404.5625</v>
      </c>
      <c r="D64" s="5">
        <v>5010.6000999999997</v>
      </c>
      <c r="E64" s="6">
        <f xml:space="preserve"> IFERROR(Price_Data[[#This Row],[Close Price]]-D63,0)</f>
        <v>-59.949700000000121</v>
      </c>
      <c r="F64" s="4">
        <f>_xlfn.LET(_xlpm.current,Price_Data[[#This Row],[Close Price]],_xlpm.prev,Price_Data[[#This Row],[Close Price]]-Price_Data[[#This Row],[Price Change]],LOG(_xlpm.current/_xlpm.prev))</f>
        <v>-5.1653097258797043E-3</v>
      </c>
    </row>
    <row r="65" spans="1:6" x14ac:dyDescent="0.25">
      <c r="A65" s="9" t="s">
        <v>3</v>
      </c>
      <c r="B65">
        <v>189</v>
      </c>
      <c r="C65" s="1">
        <v>45401.5625</v>
      </c>
      <c r="D65" s="5">
        <v>4967.2299999999996</v>
      </c>
      <c r="E65" s="6">
        <f xml:space="preserve"> IFERROR(Price_Data[[#This Row],[Close Price]]-D64,0)</f>
        <v>-43.370100000000093</v>
      </c>
      <c r="F65" s="4">
        <f>_xlfn.LET(_xlpm.current,Price_Data[[#This Row],[Close Price]],_xlpm.prev,Price_Data[[#This Row],[Close Price]]-Price_Data[[#This Row],[Price Change]],LOG(_xlpm.current/_xlpm.prev))</f>
        <v>-3.7754729321525932E-3</v>
      </c>
    </row>
    <row r="66" spans="1:6" x14ac:dyDescent="0.25">
      <c r="A66" s="9" t="s">
        <v>3</v>
      </c>
      <c r="B66">
        <v>188</v>
      </c>
      <c r="C66" s="1">
        <v>45400.5625</v>
      </c>
      <c r="D66" s="5">
        <v>5011.1201000000001</v>
      </c>
      <c r="E66" s="6">
        <f xml:space="preserve"> IFERROR(Price_Data[[#This Row],[Close Price]]-D65,0)</f>
        <v>43.89010000000053</v>
      </c>
      <c r="F66" s="4">
        <f>_xlfn.LET(_xlpm.current,Price_Data[[#This Row],[Close Price]],_xlpm.prev,Price_Data[[#This Row],[Close Price]]-Price_Data[[#This Row],[Price Change]],LOG(_xlpm.current/_xlpm.prev))</f>
        <v>3.8205416681152456E-3</v>
      </c>
    </row>
    <row r="67" spans="1:6" x14ac:dyDescent="0.25">
      <c r="A67" s="9" t="s">
        <v>3</v>
      </c>
      <c r="B67">
        <v>187</v>
      </c>
      <c r="C67" s="1">
        <v>45399.5625</v>
      </c>
      <c r="D67" s="5">
        <v>5022.21</v>
      </c>
      <c r="E67" s="6">
        <f xml:space="preserve"> IFERROR(Price_Data[[#This Row],[Close Price]]-D66,0)</f>
        <v>11.089899999999943</v>
      </c>
      <c r="F67" s="4">
        <f>_xlfn.LET(_xlpm.current,Price_Data[[#This Row],[Close Price]],_xlpm.prev,Price_Data[[#This Row],[Close Price]]-Price_Data[[#This Row],[Price Change]],LOG(_xlpm.current/_xlpm.prev))</f>
        <v>9.6005698770202958E-4</v>
      </c>
    </row>
    <row r="68" spans="1:6" x14ac:dyDescent="0.25">
      <c r="A68" s="9" t="s">
        <v>3</v>
      </c>
      <c r="B68">
        <v>186</v>
      </c>
      <c r="C68" s="1">
        <v>45398.5625</v>
      </c>
      <c r="D68" s="5">
        <v>5051.4102000000003</v>
      </c>
      <c r="E68" s="6">
        <f xml:space="preserve"> IFERROR(Price_Data[[#This Row],[Close Price]]-D67,0)</f>
        <v>29.200200000000223</v>
      </c>
      <c r="F68" s="4">
        <f>_xlfn.LET(_xlpm.current,Price_Data[[#This Row],[Close Price]],_xlpm.prev,Price_Data[[#This Row],[Close Price]]-Price_Data[[#This Row],[Price Change]],LOG(_xlpm.current/_xlpm.prev))</f>
        <v>2.5177683885129936E-3</v>
      </c>
    </row>
    <row r="69" spans="1:6" x14ac:dyDescent="0.25">
      <c r="A69" s="9" t="s">
        <v>3</v>
      </c>
      <c r="B69">
        <v>185</v>
      </c>
      <c r="C69" s="1">
        <v>45397.5625</v>
      </c>
      <c r="D69" s="5">
        <v>5061.8198000000002</v>
      </c>
      <c r="E69" s="6">
        <f xml:space="preserve"> IFERROR(Price_Data[[#This Row],[Close Price]]-D68,0)</f>
        <v>10.409599999999955</v>
      </c>
      <c r="F69" s="4">
        <f>_xlfn.LET(_xlpm.current,Price_Data[[#This Row],[Close Price]],_xlpm.prev,Price_Data[[#This Row],[Close Price]]-Price_Data[[#This Row],[Price Change]],LOG(_xlpm.current/_xlpm.prev))</f>
        <v>8.9404343328130392E-4</v>
      </c>
    </row>
    <row r="70" spans="1:6" x14ac:dyDescent="0.25">
      <c r="A70" s="9" t="s">
        <v>3</v>
      </c>
      <c r="B70">
        <v>184</v>
      </c>
      <c r="C70" s="1">
        <v>45394.5625</v>
      </c>
      <c r="D70" s="5">
        <v>5123.4102000000003</v>
      </c>
      <c r="E70" s="6">
        <f xml:space="preserve"> IFERROR(Price_Data[[#This Row],[Close Price]]-D69,0)</f>
        <v>61.590400000000045</v>
      </c>
      <c r="F70" s="4">
        <f>_xlfn.LET(_xlpm.current,Price_Data[[#This Row],[Close Price]],_xlpm.prev,Price_Data[[#This Row],[Close Price]]-Price_Data[[#This Row],[Price Change]],LOG(_xlpm.current/_xlpm.prev))</f>
        <v>5.2524482800159747E-3</v>
      </c>
    </row>
    <row r="71" spans="1:6" x14ac:dyDescent="0.25">
      <c r="A71" s="9" t="s">
        <v>3</v>
      </c>
      <c r="B71">
        <v>183</v>
      </c>
      <c r="C71" s="1">
        <v>45393.5625</v>
      </c>
      <c r="D71" s="5">
        <v>5199.0600999999997</v>
      </c>
      <c r="E71" s="6">
        <f xml:space="preserve"> IFERROR(Price_Data[[#This Row],[Close Price]]-D70,0)</f>
        <v>75.649899999999434</v>
      </c>
      <c r="F71" s="4">
        <f>_xlfn.LET(_xlpm.current,Price_Data[[#This Row],[Close Price]],_xlpm.prev,Price_Data[[#This Row],[Close Price]]-Price_Data[[#This Row],[Price Change]],LOG(_xlpm.current/_xlpm.prev))</f>
        <v>6.3657092507859317E-3</v>
      </c>
    </row>
    <row r="72" spans="1:6" x14ac:dyDescent="0.25">
      <c r="A72" s="9" t="s">
        <v>3</v>
      </c>
      <c r="B72">
        <v>182</v>
      </c>
      <c r="C72" s="1">
        <v>45392.5625</v>
      </c>
      <c r="D72" s="5">
        <v>5160.6400999999996</v>
      </c>
      <c r="E72" s="6">
        <f xml:space="preserve"> IFERROR(Price_Data[[#This Row],[Close Price]]-D71,0)</f>
        <v>-38.420000000000073</v>
      </c>
      <c r="F72" s="4">
        <f>_xlfn.LET(_xlpm.current,Price_Data[[#This Row],[Close Price]],_xlpm.prev,Price_Data[[#This Row],[Close Price]]-Price_Data[[#This Row],[Price Change]],LOG(_xlpm.current/_xlpm.prev))</f>
        <v>-3.2212651272887087E-3</v>
      </c>
    </row>
    <row r="73" spans="1:6" x14ac:dyDescent="0.25">
      <c r="A73" s="9" t="s">
        <v>3</v>
      </c>
      <c r="B73">
        <v>181</v>
      </c>
      <c r="C73" s="1">
        <v>45391.5625</v>
      </c>
      <c r="D73" s="5">
        <v>5209.9102000000003</v>
      </c>
      <c r="E73" s="6">
        <f xml:space="preserve"> IFERROR(Price_Data[[#This Row],[Close Price]]-D72,0)</f>
        <v>49.270100000000639</v>
      </c>
      <c r="F73" s="4">
        <f>_xlfn.LET(_xlpm.current,Price_Data[[#This Row],[Close Price]],_xlpm.prev,Price_Data[[#This Row],[Close Price]]-Price_Data[[#This Row],[Price Change]],LOG(_xlpm.current/_xlpm.prev))</f>
        <v>4.126665013916583E-3</v>
      </c>
    </row>
    <row r="74" spans="1:6" x14ac:dyDescent="0.25">
      <c r="A74" s="9" t="s">
        <v>3</v>
      </c>
      <c r="B74">
        <v>180</v>
      </c>
      <c r="C74" s="1">
        <v>45390.5625</v>
      </c>
      <c r="D74" s="5">
        <v>5202.3900999999996</v>
      </c>
      <c r="E74" s="6">
        <f xml:space="preserve"> IFERROR(Price_Data[[#This Row],[Close Price]]-D73,0)</f>
        <v>-7.5201000000006388</v>
      </c>
      <c r="F74" s="4">
        <f>_xlfn.LET(_xlpm.current,Price_Data[[#This Row],[Close Price]],_xlpm.prev,Price_Data[[#This Row],[Close Price]]-Price_Data[[#This Row],[Price Change]],LOG(_xlpm.current/_xlpm.prev))</f>
        <v>-6.2732314803101805E-4</v>
      </c>
    </row>
    <row r="75" spans="1:6" x14ac:dyDescent="0.25">
      <c r="A75" s="9" t="s">
        <v>3</v>
      </c>
      <c r="B75">
        <v>179</v>
      </c>
      <c r="C75" s="1">
        <v>45387.5625</v>
      </c>
      <c r="D75" s="5">
        <v>5204.3397999999997</v>
      </c>
      <c r="E75" s="6">
        <f xml:space="preserve"> IFERROR(Price_Data[[#This Row],[Close Price]]-D74,0)</f>
        <v>1.9497000000001208</v>
      </c>
      <c r="F75" s="4">
        <f>_xlfn.LET(_xlpm.current,Price_Data[[#This Row],[Close Price]],_xlpm.prev,Price_Data[[#This Row],[Close Price]]-Price_Data[[#This Row],[Price Change]],LOG(_xlpm.current/_xlpm.prev))</f>
        <v>1.6273007359860202E-4</v>
      </c>
    </row>
    <row r="76" spans="1:6" x14ac:dyDescent="0.25">
      <c r="A76" s="9" t="s">
        <v>3</v>
      </c>
      <c r="B76">
        <v>178</v>
      </c>
      <c r="C76" s="1">
        <v>45386.5625</v>
      </c>
      <c r="D76" s="5">
        <v>5147.21</v>
      </c>
      <c r="E76" s="6">
        <f xml:space="preserve"> IFERROR(Price_Data[[#This Row],[Close Price]]-D75,0)</f>
        <v>-57.129799999999705</v>
      </c>
      <c r="F76" s="4">
        <f>_xlfn.LET(_xlpm.current,Price_Data[[#This Row],[Close Price]],_xlpm.prev,Price_Data[[#This Row],[Close Price]]-Price_Data[[#This Row],[Price Change]],LOG(_xlpm.current/_xlpm.prev))</f>
        <v>-4.7937573181446747E-3</v>
      </c>
    </row>
    <row r="77" spans="1:6" x14ac:dyDescent="0.25">
      <c r="A77" s="9" t="s">
        <v>3</v>
      </c>
      <c r="B77">
        <v>177</v>
      </c>
      <c r="C77" s="1">
        <v>45385.5625</v>
      </c>
      <c r="D77" s="5">
        <v>5211.4902000000002</v>
      </c>
      <c r="E77" s="6">
        <f xml:space="preserve"> IFERROR(Price_Data[[#This Row],[Close Price]]-D76,0)</f>
        <v>64.28020000000015</v>
      </c>
      <c r="F77" s="4">
        <f>_xlfn.LET(_xlpm.current,Price_Data[[#This Row],[Close Price]],_xlpm.prev,Price_Data[[#This Row],[Close Price]]-Price_Data[[#This Row],[Price Change]],LOG(_xlpm.current/_xlpm.prev))</f>
        <v>5.3900381236549281E-3</v>
      </c>
    </row>
    <row r="78" spans="1:6" x14ac:dyDescent="0.25">
      <c r="A78" s="9" t="s">
        <v>3</v>
      </c>
      <c r="B78">
        <v>176</v>
      </c>
      <c r="C78" s="1">
        <v>45384.5625</v>
      </c>
      <c r="D78" s="5">
        <v>5205.8100999999997</v>
      </c>
      <c r="E78" s="6">
        <f xml:space="preserve"> IFERROR(Price_Data[[#This Row],[Close Price]]-D77,0)</f>
        <v>-5.6801000000004933</v>
      </c>
      <c r="F78" s="4">
        <f>_xlfn.LET(_xlpm.current,Price_Data[[#This Row],[Close Price]],_xlpm.prev,Price_Data[[#This Row],[Close Price]]-Price_Data[[#This Row],[Price Change]],LOG(_xlpm.current/_xlpm.prev))</f>
        <v>-4.7360376682739901E-4</v>
      </c>
    </row>
    <row r="79" spans="1:6" x14ac:dyDescent="0.25">
      <c r="A79" s="9" t="s">
        <v>3</v>
      </c>
      <c r="B79">
        <v>175</v>
      </c>
      <c r="C79" s="1">
        <v>45383.5625</v>
      </c>
      <c r="D79" s="5">
        <v>5243.77</v>
      </c>
      <c r="E79" s="6">
        <f xml:space="preserve"> IFERROR(Price_Data[[#This Row],[Close Price]]-D78,0)</f>
        <v>37.959900000000744</v>
      </c>
      <c r="F79" s="4">
        <f>_xlfn.LET(_xlpm.current,Price_Data[[#This Row],[Close Price]],_xlpm.prev,Price_Data[[#This Row],[Close Price]]-Price_Data[[#This Row],[Price Change]],LOG(_xlpm.current/_xlpm.prev))</f>
        <v>3.1553129338268968E-3</v>
      </c>
    </row>
    <row r="80" spans="1:6" x14ac:dyDescent="0.25">
      <c r="A80" s="9" t="s">
        <v>3</v>
      </c>
      <c r="B80">
        <v>174</v>
      </c>
      <c r="C80" s="1">
        <v>45379.5625</v>
      </c>
      <c r="D80" s="5">
        <v>5254.3500999999997</v>
      </c>
      <c r="E80" s="6">
        <f xml:space="preserve"> IFERROR(Price_Data[[#This Row],[Close Price]]-D79,0)</f>
        <v>10.58009999999922</v>
      </c>
      <c r="F80" s="4">
        <f>_xlfn.LET(_xlpm.current,Price_Data[[#This Row],[Close Price]],_xlpm.prev,Price_Data[[#This Row],[Close Price]]-Price_Data[[#This Row],[Price Change]],LOG(_xlpm.current/_xlpm.prev))</f>
        <v>8.7537207802111726E-4</v>
      </c>
    </row>
    <row r="81" spans="1:6" x14ac:dyDescent="0.25">
      <c r="A81" s="9" t="s">
        <v>3</v>
      </c>
      <c r="B81">
        <v>173</v>
      </c>
      <c r="C81" s="1">
        <v>45378.5625</v>
      </c>
      <c r="D81" s="5">
        <v>5248.4902000000002</v>
      </c>
      <c r="E81" s="6">
        <f xml:space="preserve"> IFERROR(Price_Data[[#This Row],[Close Price]]-D80,0)</f>
        <v>-5.8598999999994703</v>
      </c>
      <c r="F81" s="4">
        <f>_xlfn.LET(_xlpm.current,Price_Data[[#This Row],[Close Price]],_xlpm.prev,Price_Data[[#This Row],[Close Price]]-Price_Data[[#This Row],[Price Change]],LOG(_xlpm.current/_xlpm.prev))</f>
        <v>-4.846160516361269E-4</v>
      </c>
    </row>
    <row r="82" spans="1:6" x14ac:dyDescent="0.25">
      <c r="A82" s="9" t="s">
        <v>3</v>
      </c>
      <c r="B82">
        <v>172</v>
      </c>
      <c r="C82" s="1">
        <v>45377.5625</v>
      </c>
      <c r="D82" s="5">
        <v>5203.5801000000001</v>
      </c>
      <c r="E82" s="6">
        <f xml:space="preserve"> IFERROR(Price_Data[[#This Row],[Close Price]]-D81,0)</f>
        <v>-44.910100000000057</v>
      </c>
      <c r="F82" s="4">
        <f>_xlfn.LET(_xlpm.current,Price_Data[[#This Row],[Close Price]],_xlpm.prev,Price_Data[[#This Row],[Close Price]]-Price_Data[[#This Row],[Price Change]],LOG(_xlpm.current/_xlpm.prev))</f>
        <v>-3.7321464711615542E-3</v>
      </c>
    </row>
    <row r="83" spans="1:6" x14ac:dyDescent="0.25">
      <c r="A83" s="9" t="s">
        <v>3</v>
      </c>
      <c r="B83">
        <v>171</v>
      </c>
      <c r="C83" s="1">
        <v>45376.5625</v>
      </c>
      <c r="D83" s="5">
        <v>5218.1899000000003</v>
      </c>
      <c r="E83" s="6">
        <f xml:space="preserve"> IFERROR(Price_Data[[#This Row],[Close Price]]-D82,0)</f>
        <v>14.609800000000178</v>
      </c>
      <c r="F83" s="4">
        <f>_xlfn.LET(_xlpm.current,Price_Data[[#This Row],[Close Price]],_xlpm.prev,Price_Data[[#This Row],[Close Price]]-Price_Data[[#This Row],[Price Change]],LOG(_xlpm.current/_xlpm.prev))</f>
        <v>1.2176357141009445E-3</v>
      </c>
    </row>
    <row r="84" spans="1:6" x14ac:dyDescent="0.25">
      <c r="A84" s="9" t="s">
        <v>3</v>
      </c>
      <c r="B84">
        <v>170</v>
      </c>
      <c r="C84" s="1">
        <v>45373.5625</v>
      </c>
      <c r="D84" s="5">
        <v>5234.1801999999998</v>
      </c>
      <c r="E84" s="6">
        <f xml:space="preserve"> IFERROR(Price_Data[[#This Row],[Close Price]]-D83,0)</f>
        <v>15.990299999999479</v>
      </c>
      <c r="F84" s="4">
        <f>_xlfn.LET(_xlpm.current,Price_Data[[#This Row],[Close Price]],_xlpm.prev,Price_Data[[#This Row],[Close Price]]-Price_Data[[#This Row],[Price Change]],LOG(_xlpm.current/_xlpm.prev))</f>
        <v>1.3287903901412787E-3</v>
      </c>
    </row>
    <row r="85" spans="1:6" x14ac:dyDescent="0.25">
      <c r="A85" s="9" t="s">
        <v>3</v>
      </c>
      <c r="B85">
        <v>169</v>
      </c>
      <c r="C85" s="1">
        <v>45372.5625</v>
      </c>
      <c r="D85" s="5">
        <v>5241.5298000000003</v>
      </c>
      <c r="E85" s="6">
        <f xml:space="preserve"> IFERROR(Price_Data[[#This Row],[Close Price]]-D84,0)</f>
        <v>7.3496000000004642</v>
      </c>
      <c r="F85" s="4">
        <f>_xlfn.LET(_xlpm.current,Price_Data[[#This Row],[Close Price]],_xlpm.prev,Price_Data[[#This Row],[Close Price]]-Price_Data[[#This Row],[Price Change]],LOG(_xlpm.current/_xlpm.prev))</f>
        <v>6.0938900521338322E-4</v>
      </c>
    </row>
    <row r="86" spans="1:6" x14ac:dyDescent="0.25">
      <c r="A86" s="9" t="s">
        <v>3</v>
      </c>
      <c r="B86">
        <v>168</v>
      </c>
      <c r="C86" s="1">
        <v>45371.5625</v>
      </c>
      <c r="D86" s="5">
        <v>5224.6201000000001</v>
      </c>
      <c r="E86" s="6">
        <f xml:space="preserve"> IFERROR(Price_Data[[#This Row],[Close Price]]-D85,0)</f>
        <v>-16.909700000000157</v>
      </c>
      <c r="F86" s="4">
        <f>_xlfn.LET(_xlpm.current,Price_Data[[#This Row],[Close Price]],_xlpm.prev,Price_Data[[#This Row],[Close Price]]-Price_Data[[#This Row],[Price Change]],LOG(_xlpm.current/_xlpm.prev))</f>
        <v>-1.4033423676820672E-3</v>
      </c>
    </row>
    <row r="87" spans="1:6" x14ac:dyDescent="0.25">
      <c r="A87" s="9" t="s">
        <v>3</v>
      </c>
      <c r="B87">
        <v>167</v>
      </c>
      <c r="C87" s="1">
        <v>45370.5625</v>
      </c>
      <c r="D87" s="5">
        <v>5178.5097999999998</v>
      </c>
      <c r="E87" s="6">
        <f xml:space="preserve"> IFERROR(Price_Data[[#This Row],[Close Price]]-D86,0)</f>
        <v>-46.110300000000279</v>
      </c>
      <c r="F87" s="4">
        <f>_xlfn.LET(_xlpm.current,Price_Data[[#This Row],[Close Price]],_xlpm.prev,Price_Data[[#This Row],[Close Price]]-Price_Data[[#This Row],[Price Change]],LOG(_xlpm.current/_xlpm.prev))</f>
        <v>-3.8499144355662253E-3</v>
      </c>
    </row>
    <row r="88" spans="1:6" x14ac:dyDescent="0.25">
      <c r="A88" s="9" t="s">
        <v>3</v>
      </c>
      <c r="B88">
        <v>166</v>
      </c>
      <c r="C88" s="1">
        <v>45369.5625</v>
      </c>
      <c r="D88" s="5">
        <v>5149.4198999999999</v>
      </c>
      <c r="E88" s="6">
        <f xml:space="preserve"> IFERROR(Price_Data[[#This Row],[Close Price]]-D87,0)</f>
        <v>-29.089899999999943</v>
      </c>
      <c r="F88" s="4">
        <f>_xlfn.LET(_xlpm.current,Price_Data[[#This Row],[Close Price]],_xlpm.prev,Price_Data[[#This Row],[Close Price]]-Price_Data[[#This Row],[Price Change]],LOG(_xlpm.current/_xlpm.prev))</f>
        <v>-2.446495440079321E-3</v>
      </c>
    </row>
    <row r="89" spans="1:6" x14ac:dyDescent="0.25">
      <c r="A89" s="9" t="s">
        <v>3</v>
      </c>
      <c r="B89">
        <v>165</v>
      </c>
      <c r="C89" s="1">
        <v>45366.5625</v>
      </c>
      <c r="D89" s="5">
        <v>5117.0897999999997</v>
      </c>
      <c r="E89" s="6">
        <f xml:space="preserve"> IFERROR(Price_Data[[#This Row],[Close Price]]-D88,0)</f>
        <v>-32.33010000000013</v>
      </c>
      <c r="F89" s="4">
        <f>_xlfn.LET(_xlpm.current,Price_Data[[#This Row],[Close Price]],_xlpm.prev,Price_Data[[#This Row],[Close Price]]-Price_Data[[#This Row],[Price Change]],LOG(_xlpm.current/_xlpm.prev))</f>
        <v>-2.7352685289998E-3</v>
      </c>
    </row>
    <row r="90" spans="1:6" x14ac:dyDescent="0.25">
      <c r="A90" s="9" t="s">
        <v>3</v>
      </c>
      <c r="B90">
        <v>164</v>
      </c>
      <c r="C90" s="1">
        <v>45365.5625</v>
      </c>
      <c r="D90" s="5">
        <v>5150.4799999999996</v>
      </c>
      <c r="E90" s="6">
        <f xml:space="preserve"> IFERROR(Price_Data[[#This Row],[Close Price]]-D89,0)</f>
        <v>33.390199999999822</v>
      </c>
      <c r="F90" s="4">
        <f>_xlfn.LET(_xlpm.current,Price_Data[[#This Row],[Close Price]],_xlpm.prev,Price_Data[[#This Row],[Close Price]]-Price_Data[[#This Row],[Price Change]],LOG(_xlpm.current/_xlpm.prev))</f>
        <v>2.8246665981773635E-3</v>
      </c>
    </row>
    <row r="91" spans="1:6" x14ac:dyDescent="0.25">
      <c r="A91" s="9" t="s">
        <v>3</v>
      </c>
      <c r="B91">
        <v>163</v>
      </c>
      <c r="C91" s="1">
        <v>45364.5625</v>
      </c>
      <c r="D91" s="5">
        <v>5165.3100999999997</v>
      </c>
      <c r="E91" s="6">
        <f xml:space="preserve"> IFERROR(Price_Data[[#This Row],[Close Price]]-D90,0)</f>
        <v>14.83010000000013</v>
      </c>
      <c r="F91" s="4">
        <f>_xlfn.LET(_xlpm.current,Price_Data[[#This Row],[Close Price]],_xlpm.prev,Price_Data[[#This Row],[Close Price]]-Price_Data[[#This Row],[Price Change]],LOG(_xlpm.current/_xlpm.prev))</f>
        <v>1.2486944714177252E-3</v>
      </c>
    </row>
    <row r="92" spans="1:6" x14ac:dyDescent="0.25">
      <c r="A92" s="9" t="s">
        <v>3</v>
      </c>
      <c r="B92">
        <v>162</v>
      </c>
      <c r="C92" s="1">
        <v>45363.5625</v>
      </c>
      <c r="D92" s="5">
        <v>5175.2700000000004</v>
      </c>
      <c r="E92" s="6">
        <f xml:space="preserve"> IFERROR(Price_Data[[#This Row],[Close Price]]-D91,0)</f>
        <v>9.9599000000007436</v>
      </c>
      <c r="F92" s="4">
        <f>_xlfn.LET(_xlpm.current,Price_Data[[#This Row],[Close Price]],_xlpm.prev,Price_Data[[#This Row],[Close Price]]-Price_Data[[#This Row],[Price Change]],LOG(_xlpm.current/_xlpm.prev))</f>
        <v>8.3661282174019318E-4</v>
      </c>
    </row>
    <row r="93" spans="1:6" x14ac:dyDescent="0.25">
      <c r="A93" s="9" t="s">
        <v>3</v>
      </c>
      <c r="B93">
        <v>161</v>
      </c>
      <c r="C93" s="1">
        <v>45362.5625</v>
      </c>
      <c r="D93" s="5">
        <v>5117.9399000000003</v>
      </c>
      <c r="E93" s="6">
        <f xml:space="preserve"> IFERROR(Price_Data[[#This Row],[Close Price]]-D92,0)</f>
        <v>-57.33010000000013</v>
      </c>
      <c r="F93" s="4">
        <f>_xlfn.LET(_xlpm.current,Price_Data[[#This Row],[Close Price]],_xlpm.prev,Price_Data[[#This Row],[Close Price]]-Price_Data[[#This Row],[Price Change]],LOG(_xlpm.current/_xlpm.prev))</f>
        <v>-4.8378307220947265E-3</v>
      </c>
    </row>
    <row r="94" spans="1:6" x14ac:dyDescent="0.25">
      <c r="A94" s="9" t="s">
        <v>3</v>
      </c>
      <c r="B94">
        <v>160</v>
      </c>
      <c r="C94" s="1">
        <v>45359.604166666664</v>
      </c>
      <c r="D94" s="5">
        <v>5123.6899000000003</v>
      </c>
      <c r="E94" s="6">
        <f xml:space="preserve"> IFERROR(Price_Data[[#This Row],[Close Price]]-D93,0)</f>
        <v>5.75</v>
      </c>
      <c r="F94" s="4">
        <f>_xlfn.LET(_xlpm.current,Price_Data[[#This Row],[Close Price]],_xlpm.prev,Price_Data[[#This Row],[Close Price]]-Price_Data[[#This Row],[Price Change]],LOG(_xlpm.current/_xlpm.prev))</f>
        <v>4.8765549665194177E-4</v>
      </c>
    </row>
    <row r="95" spans="1:6" x14ac:dyDescent="0.25">
      <c r="A95" s="9" t="s">
        <v>3</v>
      </c>
      <c r="B95">
        <v>159</v>
      </c>
      <c r="C95" s="1">
        <v>45358.604166666664</v>
      </c>
      <c r="D95" s="5">
        <v>5157.3599000000004</v>
      </c>
      <c r="E95" s="6">
        <f xml:space="preserve"> IFERROR(Price_Data[[#This Row],[Close Price]]-D94,0)</f>
        <v>33.670000000000073</v>
      </c>
      <c r="F95" s="4">
        <f>_xlfn.LET(_xlpm.current,Price_Data[[#This Row],[Close Price]],_xlpm.prev,Price_Data[[#This Row],[Close Price]]-Price_Data[[#This Row],[Price Change]],LOG(_xlpm.current/_xlpm.prev))</f>
        <v>2.8446020140550461E-3</v>
      </c>
    </row>
    <row r="96" spans="1:6" x14ac:dyDescent="0.25">
      <c r="A96" s="9" t="s">
        <v>3</v>
      </c>
      <c r="B96">
        <v>158</v>
      </c>
      <c r="C96" s="1">
        <v>45357.604166666664</v>
      </c>
      <c r="D96" s="5">
        <v>5104.7597999999998</v>
      </c>
      <c r="E96" s="6">
        <f xml:space="preserve"> IFERROR(Price_Data[[#This Row],[Close Price]]-D95,0)</f>
        <v>-52.600100000000566</v>
      </c>
      <c r="F96" s="4">
        <f>_xlfn.LET(_xlpm.current,Price_Data[[#This Row],[Close Price]],_xlpm.prev,Price_Data[[#This Row],[Close Price]]-Price_Data[[#This Row],[Price Change]],LOG(_xlpm.current/_xlpm.prev))</f>
        <v>-4.4521276116758534E-3</v>
      </c>
    </row>
    <row r="97" spans="1:6" x14ac:dyDescent="0.25">
      <c r="A97" s="9" t="s">
        <v>3</v>
      </c>
      <c r="B97">
        <v>157</v>
      </c>
      <c r="C97" s="1">
        <v>45356.604166666664</v>
      </c>
      <c r="D97" s="5">
        <v>5078.6499000000003</v>
      </c>
      <c r="E97" s="6">
        <f xml:space="preserve"> IFERROR(Price_Data[[#This Row],[Close Price]]-D96,0)</f>
        <v>-26.10989999999947</v>
      </c>
      <c r="F97" s="4">
        <f>_xlfn.LET(_xlpm.current,Price_Data[[#This Row],[Close Price]],_xlpm.prev,Price_Data[[#This Row],[Close Price]]-Price_Data[[#This Row],[Price Change]],LOG(_xlpm.current/_xlpm.prev))</f>
        <v>-2.2270360665523924E-3</v>
      </c>
    </row>
    <row r="98" spans="1:6" x14ac:dyDescent="0.25">
      <c r="A98" s="9" t="s">
        <v>3</v>
      </c>
      <c r="B98">
        <v>156</v>
      </c>
      <c r="C98" s="1">
        <v>45355.604166666664</v>
      </c>
      <c r="D98" s="5">
        <v>5130.9502000000002</v>
      </c>
      <c r="E98" s="6">
        <f xml:space="preserve"> IFERROR(Price_Data[[#This Row],[Close Price]]-D97,0)</f>
        <v>52.300299999999879</v>
      </c>
      <c r="F98" s="4">
        <f>_xlfn.LET(_xlpm.current,Price_Data[[#This Row],[Close Price]],_xlpm.prev,Price_Data[[#This Row],[Close Price]]-Price_Data[[#This Row],[Price Change]],LOG(_xlpm.current/_xlpm.prev))</f>
        <v>4.4495240076709202E-3</v>
      </c>
    </row>
    <row r="99" spans="1:6" x14ac:dyDescent="0.25">
      <c r="A99" s="9" t="s">
        <v>3</v>
      </c>
      <c r="B99">
        <v>155</v>
      </c>
      <c r="C99" s="1">
        <v>45352.604166666664</v>
      </c>
      <c r="D99" s="5">
        <v>5137.0801000000001</v>
      </c>
      <c r="E99" s="6">
        <f xml:space="preserve"> IFERROR(Price_Data[[#This Row],[Close Price]]-D98,0)</f>
        <v>6.1298999999999069</v>
      </c>
      <c r="F99" s="4">
        <f>_xlfn.LET(_xlpm.current,Price_Data[[#This Row],[Close Price]],_xlpm.prev,Price_Data[[#This Row],[Close Price]]-Price_Data[[#This Row],[Price Change]],LOG(_xlpm.current/_xlpm.prev))</f>
        <v>5.18538022016217E-4</v>
      </c>
    </row>
    <row r="100" spans="1:6" x14ac:dyDescent="0.25">
      <c r="A100" s="9" t="s">
        <v>3</v>
      </c>
      <c r="B100">
        <v>154</v>
      </c>
      <c r="C100" s="1">
        <v>45351.604166666664</v>
      </c>
      <c r="D100" s="5">
        <v>5096.2700000000004</v>
      </c>
      <c r="E100" s="6">
        <f xml:space="preserve"> IFERROR(Price_Data[[#This Row],[Close Price]]-D99,0)</f>
        <v>-40.810099999999693</v>
      </c>
      <c r="F100" s="4">
        <f>_xlfn.LET(_xlpm.current,Price_Data[[#This Row],[Close Price]],_xlpm.prev,Price_Data[[#This Row],[Close Price]]-Price_Data[[#This Row],[Price Change]],LOG(_xlpm.current/_xlpm.prev))</f>
        <v>-3.4639086947845059E-3</v>
      </c>
    </row>
    <row r="101" spans="1:6" x14ac:dyDescent="0.25">
      <c r="A101" s="9" t="s">
        <v>3</v>
      </c>
      <c r="B101">
        <v>153</v>
      </c>
      <c r="C101" s="1">
        <v>45350.604166666664</v>
      </c>
      <c r="D101" s="5">
        <v>5069.7597999999998</v>
      </c>
      <c r="E101" s="6">
        <f xml:space="preserve"> IFERROR(Price_Data[[#This Row],[Close Price]]-D100,0)</f>
        <v>-26.510200000000623</v>
      </c>
      <c r="F101" s="4">
        <f>_xlfn.LET(_xlpm.current,Price_Data[[#This Row],[Close Price]],_xlpm.prev,Price_Data[[#This Row],[Close Price]]-Price_Data[[#This Row],[Price Change]],LOG(_xlpm.current/_xlpm.prev))</f>
        <v>-2.2650454303769032E-3</v>
      </c>
    </row>
    <row r="102" spans="1:6" x14ac:dyDescent="0.25">
      <c r="A102" s="9" t="s">
        <v>3</v>
      </c>
      <c r="B102">
        <v>152</v>
      </c>
      <c r="C102" s="1">
        <v>45349.604166666664</v>
      </c>
      <c r="D102" s="5">
        <v>5078.1801999999998</v>
      </c>
      <c r="E102" s="6">
        <f xml:space="preserve"> IFERROR(Price_Data[[#This Row],[Close Price]]-D101,0)</f>
        <v>8.4203999999999724</v>
      </c>
      <c r="F102" s="4">
        <f>_xlfn.LET(_xlpm.current,Price_Data[[#This Row],[Close Price]],_xlpm.prev,Price_Data[[#This Row],[Close Price]]-Price_Data[[#This Row],[Price Change]],LOG(_xlpm.current/_xlpm.prev))</f>
        <v>7.2072442184241729E-4</v>
      </c>
    </row>
    <row r="103" spans="1:6" x14ac:dyDescent="0.25">
      <c r="A103" s="9" t="s">
        <v>3</v>
      </c>
      <c r="B103">
        <v>151</v>
      </c>
      <c r="C103" s="1">
        <v>45348.604166666664</v>
      </c>
      <c r="D103" s="5">
        <v>5069.5298000000003</v>
      </c>
      <c r="E103" s="6">
        <f xml:space="preserve"> IFERROR(Price_Data[[#This Row],[Close Price]]-D102,0)</f>
        <v>-8.6503999999995358</v>
      </c>
      <c r="F103" s="4">
        <f>_xlfn.LET(_xlpm.current,Price_Data[[#This Row],[Close Price]],_xlpm.prev,Price_Data[[#This Row],[Close Price]]-Price_Data[[#This Row],[Price Change]],LOG(_xlpm.current/_xlpm.prev))</f>
        <v>-7.4042752428751498E-4</v>
      </c>
    </row>
    <row r="104" spans="1:6" x14ac:dyDescent="0.25">
      <c r="A104" s="9" t="s">
        <v>3</v>
      </c>
      <c r="B104">
        <v>150</v>
      </c>
      <c r="C104" s="1">
        <v>45345.604166666664</v>
      </c>
      <c r="D104" s="5">
        <v>5088.7997999999998</v>
      </c>
      <c r="E104" s="6">
        <f xml:space="preserve"> IFERROR(Price_Data[[#This Row],[Close Price]]-D103,0)</f>
        <v>19.269999999999527</v>
      </c>
      <c r="F104" s="4">
        <f>_xlfn.LET(_xlpm.current,Price_Data[[#This Row],[Close Price]],_xlpm.prev,Price_Data[[#This Row],[Close Price]]-Price_Data[[#This Row],[Price Change]],LOG(_xlpm.current/_xlpm.prev))</f>
        <v>1.6476852069609159E-3</v>
      </c>
    </row>
    <row r="105" spans="1:6" x14ac:dyDescent="0.25">
      <c r="A105" s="9" t="s">
        <v>3</v>
      </c>
      <c r="B105">
        <v>149</v>
      </c>
      <c r="C105" s="1">
        <v>45344.604166666664</v>
      </c>
      <c r="D105" s="5">
        <v>5087.0298000000003</v>
      </c>
      <c r="E105" s="6">
        <f xml:space="preserve"> IFERROR(Price_Data[[#This Row],[Close Price]]-D104,0)</f>
        <v>-1.7699999999995271</v>
      </c>
      <c r="F105" s="4">
        <f>_xlfn.LET(_xlpm.current,Price_Data[[#This Row],[Close Price]],_xlpm.prev,Price_Data[[#This Row],[Close Price]]-Price_Data[[#This Row],[Price Change]],LOG(_xlpm.current/_xlpm.prev))</f>
        <v>-1.510837486353202E-4</v>
      </c>
    </row>
    <row r="106" spans="1:6" x14ac:dyDescent="0.25">
      <c r="A106" s="9" t="s">
        <v>3</v>
      </c>
      <c r="B106">
        <v>148</v>
      </c>
      <c r="C106" s="1">
        <v>45343.604166666664</v>
      </c>
      <c r="D106" s="5">
        <v>4981.7997999999998</v>
      </c>
      <c r="E106" s="6">
        <f xml:space="preserve"> IFERROR(Price_Data[[#This Row],[Close Price]]-D105,0)</f>
        <v>-105.23000000000047</v>
      </c>
      <c r="F106" s="4">
        <f>_xlfn.LET(_xlpm.current,Price_Data[[#This Row],[Close Price]],_xlpm.prev,Price_Data[[#This Row],[Close Price]]-Price_Data[[#This Row],[Price Change]],LOG(_xlpm.current/_xlpm.prev))</f>
        <v>-9.0780108795495921E-3</v>
      </c>
    </row>
    <row r="107" spans="1:6" x14ac:dyDescent="0.25">
      <c r="A107" s="9" t="s">
        <v>3</v>
      </c>
      <c r="B107">
        <v>147</v>
      </c>
      <c r="C107" s="1">
        <v>45342.604166666664</v>
      </c>
      <c r="D107" s="5">
        <v>4975.5097999999998</v>
      </c>
      <c r="E107" s="6">
        <f xml:space="preserve"> IFERROR(Price_Data[[#This Row],[Close Price]]-D106,0)</f>
        <v>-6.2899999999999636</v>
      </c>
      <c r="F107" s="4">
        <f>_xlfn.LET(_xlpm.current,Price_Data[[#This Row],[Close Price]],_xlpm.prev,Price_Data[[#This Row],[Close Price]]-Price_Data[[#This Row],[Price Change]],LOG(_xlpm.current/_xlpm.prev))</f>
        <v>-5.4868488864230353E-4</v>
      </c>
    </row>
    <row r="108" spans="1:6" x14ac:dyDescent="0.25">
      <c r="A108" s="9" t="s">
        <v>3</v>
      </c>
      <c r="B108">
        <v>146</v>
      </c>
      <c r="C108" s="1">
        <v>45338.604166666664</v>
      </c>
      <c r="D108" s="5">
        <v>5005.5698000000002</v>
      </c>
      <c r="E108" s="6">
        <f xml:space="preserve"> IFERROR(Price_Data[[#This Row],[Close Price]]-D107,0)</f>
        <v>30.0600000000004</v>
      </c>
      <c r="F108" s="4">
        <f>_xlfn.LET(_xlpm.current,Price_Data[[#This Row],[Close Price]],_xlpm.prev,Price_Data[[#This Row],[Close Price]]-Price_Data[[#This Row],[Price Change]],LOG(_xlpm.current/_xlpm.prev))</f>
        <v>2.6159357745102812E-3</v>
      </c>
    </row>
    <row r="109" spans="1:6" x14ac:dyDescent="0.25">
      <c r="A109" s="9" t="s">
        <v>3</v>
      </c>
      <c r="B109">
        <v>145</v>
      </c>
      <c r="C109" s="1">
        <v>45337.604166666664</v>
      </c>
      <c r="D109" s="5">
        <v>5029.7299999999996</v>
      </c>
      <c r="E109" s="6">
        <f xml:space="preserve"> IFERROR(Price_Data[[#This Row],[Close Price]]-D108,0)</f>
        <v>24.16019999999935</v>
      </c>
      <c r="F109" s="4">
        <f>_xlfn.LET(_xlpm.current,Price_Data[[#This Row],[Close Price]],_xlpm.prev,Price_Data[[#This Row],[Close Price]]-Price_Data[[#This Row],[Price Change]],LOG(_xlpm.current/_xlpm.prev))</f>
        <v>2.0911506428719856E-3</v>
      </c>
    </row>
    <row r="110" spans="1:6" x14ac:dyDescent="0.25">
      <c r="A110" s="9" t="s">
        <v>3</v>
      </c>
      <c r="B110">
        <v>144</v>
      </c>
      <c r="C110" s="1">
        <v>45336.604166666664</v>
      </c>
      <c r="D110" s="5">
        <v>5000.6201000000001</v>
      </c>
      <c r="E110" s="6">
        <f xml:space="preserve"> IFERROR(Price_Data[[#This Row],[Close Price]]-D109,0)</f>
        <v>-29.10989999999947</v>
      </c>
      <c r="F110" s="4">
        <f>_xlfn.LET(_xlpm.current,Price_Data[[#This Row],[Close Price]],_xlpm.prev,Price_Data[[#This Row],[Close Price]]-Price_Data[[#This Row],[Price Change]],LOG(_xlpm.current/_xlpm.prev))</f>
        <v>-2.5208102023830145E-3</v>
      </c>
    </row>
    <row r="111" spans="1:6" x14ac:dyDescent="0.25">
      <c r="A111" s="9" t="s">
        <v>3</v>
      </c>
      <c r="B111">
        <v>143</v>
      </c>
      <c r="C111" s="1">
        <v>45335.604166666664</v>
      </c>
      <c r="D111" s="5">
        <v>4953.1698999999999</v>
      </c>
      <c r="E111" s="6">
        <f xml:space="preserve"> IFERROR(Price_Data[[#This Row],[Close Price]]-D110,0)</f>
        <v>-47.450200000000223</v>
      </c>
      <c r="F111" s="4">
        <f>_xlfn.LET(_xlpm.current,Price_Data[[#This Row],[Close Price]],_xlpm.prev,Price_Data[[#This Row],[Close Price]]-Price_Data[[#This Row],[Price Change]],LOG(_xlpm.current/_xlpm.prev))</f>
        <v>-4.1406371093584806E-3</v>
      </c>
    </row>
    <row r="112" spans="1:6" x14ac:dyDescent="0.25">
      <c r="A112" s="9" t="s">
        <v>3</v>
      </c>
      <c r="B112">
        <v>142</v>
      </c>
      <c r="C112" s="1">
        <v>45334.604166666664</v>
      </c>
      <c r="D112" s="5">
        <v>5021.8397999999997</v>
      </c>
      <c r="E112" s="6">
        <f xml:space="preserve"> IFERROR(Price_Data[[#This Row],[Close Price]]-D111,0)</f>
        <v>68.66989999999987</v>
      </c>
      <c r="F112" s="4">
        <f>_xlfn.LET(_xlpm.current,Price_Data[[#This Row],[Close Price]],_xlpm.prev,Price_Data[[#This Row],[Close Price]]-Price_Data[[#This Row],[Price Change]],LOG(_xlpm.current/_xlpm.prev))</f>
        <v>5.9796292289721392E-3</v>
      </c>
    </row>
    <row r="113" spans="1:6" x14ac:dyDescent="0.25">
      <c r="A113" s="9" t="s">
        <v>3</v>
      </c>
      <c r="B113">
        <v>141</v>
      </c>
      <c r="C113" s="1">
        <v>45331.604166666664</v>
      </c>
      <c r="D113" s="5">
        <v>5026.6099000000004</v>
      </c>
      <c r="E113" s="6">
        <f xml:space="preserve"> IFERROR(Price_Data[[#This Row],[Close Price]]-D112,0)</f>
        <v>4.7701000000006388</v>
      </c>
      <c r="F113" s="4">
        <f>_xlfn.LET(_xlpm.current,Price_Data[[#This Row],[Close Price]],_xlpm.prev,Price_Data[[#This Row],[Close Price]]-Price_Data[[#This Row],[Price Change]],LOG(_xlpm.current/_xlpm.prev))</f>
        <v>4.1232793626673909E-4</v>
      </c>
    </row>
    <row r="114" spans="1:6" x14ac:dyDescent="0.25">
      <c r="A114" s="9" t="s">
        <v>3</v>
      </c>
      <c r="B114">
        <v>140</v>
      </c>
      <c r="C114" s="1">
        <v>45330.604166666664</v>
      </c>
      <c r="D114" s="5">
        <v>4997.9102000000003</v>
      </c>
      <c r="E114" s="6">
        <f xml:space="preserve"> IFERROR(Price_Data[[#This Row],[Close Price]]-D113,0)</f>
        <v>-28.699700000000121</v>
      </c>
      <c r="F114" s="4">
        <f>_xlfn.LET(_xlpm.current,Price_Data[[#This Row],[Close Price]],_xlpm.prev,Price_Data[[#This Row],[Close Price]]-Price_Data[[#This Row],[Price Change]],LOG(_xlpm.current/_xlpm.prev))</f>
        <v>-2.4867335836718353E-3</v>
      </c>
    </row>
    <row r="115" spans="1:6" x14ac:dyDescent="0.25">
      <c r="A115" s="9" t="s">
        <v>3</v>
      </c>
      <c r="B115">
        <v>139</v>
      </c>
      <c r="C115" s="1">
        <v>45329.604166666664</v>
      </c>
      <c r="D115" s="5">
        <v>4995.0600999999997</v>
      </c>
      <c r="E115" s="6">
        <f xml:space="preserve"> IFERROR(Price_Data[[#This Row],[Close Price]]-D114,0)</f>
        <v>-2.8501000000005661</v>
      </c>
      <c r="F115" s="4">
        <f>_xlfn.LET(_xlpm.current,Price_Data[[#This Row],[Close Price]],_xlpm.prev,Price_Data[[#This Row],[Close Price]]-Price_Data[[#This Row],[Price Change]],LOG(_xlpm.current/_xlpm.prev))</f>
        <v>-2.4773069453339004E-4</v>
      </c>
    </row>
    <row r="116" spans="1:6" x14ac:dyDescent="0.25">
      <c r="A116" s="9" t="s">
        <v>3</v>
      </c>
      <c r="B116">
        <v>138</v>
      </c>
      <c r="C116" s="1">
        <v>45328.604166666664</v>
      </c>
      <c r="D116" s="5">
        <v>4954.2299999999996</v>
      </c>
      <c r="E116" s="6">
        <f xml:space="preserve"> IFERROR(Price_Data[[#This Row],[Close Price]]-D115,0)</f>
        <v>-40.83010000000013</v>
      </c>
      <c r="F116" s="4">
        <f>_xlfn.LET(_xlpm.current,Price_Data[[#This Row],[Close Price]],_xlpm.prev,Price_Data[[#This Row],[Close Price]]-Price_Data[[#This Row],[Price Change]],LOG(_xlpm.current/_xlpm.prev))</f>
        <v>-3.5645531477135842E-3</v>
      </c>
    </row>
    <row r="117" spans="1:6" x14ac:dyDescent="0.25">
      <c r="A117" s="9" t="s">
        <v>3</v>
      </c>
      <c r="B117">
        <v>137</v>
      </c>
      <c r="C117" s="1">
        <v>45327.604166666664</v>
      </c>
      <c r="D117" s="5">
        <v>4942.8100999999997</v>
      </c>
      <c r="E117" s="6">
        <f xml:space="preserve"> IFERROR(Price_Data[[#This Row],[Close Price]]-D116,0)</f>
        <v>-11.41989999999987</v>
      </c>
      <c r="F117" s="4">
        <f>_xlfn.LET(_xlpm.current,Price_Data[[#This Row],[Close Price]],_xlpm.prev,Price_Data[[#This Row],[Close Price]]-Price_Data[[#This Row],[Price Change]],LOG(_xlpm.current/_xlpm.prev))</f>
        <v>-1.0022393978147599E-3</v>
      </c>
    </row>
    <row r="118" spans="1:6" x14ac:dyDescent="0.25">
      <c r="A118" s="9" t="s">
        <v>3</v>
      </c>
      <c r="B118">
        <v>136</v>
      </c>
      <c r="C118" s="1">
        <v>45324.604166666664</v>
      </c>
      <c r="D118" s="5">
        <v>4958.6099000000004</v>
      </c>
      <c r="E118" s="6">
        <f xml:space="preserve"> IFERROR(Price_Data[[#This Row],[Close Price]]-D117,0)</f>
        <v>15.799800000000687</v>
      </c>
      <c r="F118" s="4">
        <f>_xlfn.LET(_xlpm.current,Price_Data[[#This Row],[Close Price]],_xlpm.prev,Price_Data[[#This Row],[Close Price]]-Price_Data[[#This Row],[Price Change]],LOG(_xlpm.current/_xlpm.prev))</f>
        <v>1.3860177185098714E-3</v>
      </c>
    </row>
    <row r="119" spans="1:6" x14ac:dyDescent="0.25">
      <c r="A119" s="9" t="s">
        <v>3</v>
      </c>
      <c r="B119">
        <v>135</v>
      </c>
      <c r="C119" s="1">
        <v>45323.604166666664</v>
      </c>
      <c r="D119" s="5">
        <v>4906.1899000000003</v>
      </c>
      <c r="E119" s="6">
        <f xml:space="preserve"> IFERROR(Price_Data[[#This Row],[Close Price]]-D118,0)</f>
        <v>-52.420000000000073</v>
      </c>
      <c r="F119" s="4">
        <f>_xlfn.LET(_xlpm.current,Price_Data[[#This Row],[Close Price]],_xlpm.prev,Price_Data[[#This Row],[Close Price]]-Price_Data[[#This Row],[Price Change]],LOG(_xlpm.current/_xlpm.prev))</f>
        <v>-4.6155890610135326E-3</v>
      </c>
    </row>
    <row r="120" spans="1:6" x14ac:dyDescent="0.25">
      <c r="A120" s="9" t="s">
        <v>3</v>
      </c>
      <c r="B120">
        <v>134</v>
      </c>
      <c r="C120" s="1">
        <v>45322.604166666664</v>
      </c>
      <c r="D120" s="5">
        <v>4845.6499000000003</v>
      </c>
      <c r="E120" s="6">
        <f xml:space="preserve"> IFERROR(Price_Data[[#This Row],[Close Price]]-D119,0)</f>
        <v>-60.539999999999964</v>
      </c>
      <c r="F120" s="4">
        <f>_xlfn.LET(_xlpm.current,Price_Data[[#This Row],[Close Price]],_xlpm.prev,Price_Data[[#This Row],[Close Price]]-Price_Data[[#This Row],[Price Change]],LOG(_xlpm.current/_xlpm.prev))</f>
        <v>-5.3923210898548573E-3</v>
      </c>
    </row>
    <row r="121" spans="1:6" x14ac:dyDescent="0.25">
      <c r="A121" s="9" t="s">
        <v>3</v>
      </c>
      <c r="B121">
        <v>133</v>
      </c>
      <c r="C121" s="1">
        <v>45321.604166666664</v>
      </c>
      <c r="D121" s="5">
        <v>4924.9701999999997</v>
      </c>
      <c r="E121" s="6">
        <f xml:space="preserve"> IFERROR(Price_Data[[#This Row],[Close Price]]-D120,0)</f>
        <v>79.320299999999406</v>
      </c>
      <c r="F121" s="4">
        <f>_xlfn.LET(_xlpm.current,Price_Data[[#This Row],[Close Price]],_xlpm.prev,Price_Data[[#This Row],[Close Price]]-Price_Data[[#This Row],[Price Change]],LOG(_xlpm.current/_xlpm.prev))</f>
        <v>7.0515740155880679E-3</v>
      </c>
    </row>
    <row r="122" spans="1:6" x14ac:dyDescent="0.25">
      <c r="A122" s="9" t="s">
        <v>3</v>
      </c>
      <c r="B122">
        <v>132</v>
      </c>
      <c r="C122" s="1">
        <v>45320.604166666664</v>
      </c>
      <c r="D122" s="5">
        <v>4927.9301999999998</v>
      </c>
      <c r="E122" s="6">
        <f xml:space="preserve"> IFERROR(Price_Data[[#This Row],[Close Price]]-D121,0)</f>
        <v>2.9600000000000364</v>
      </c>
      <c r="F122" s="4">
        <f>_xlfn.LET(_xlpm.current,Price_Data[[#This Row],[Close Price]],_xlpm.prev,Price_Data[[#This Row],[Close Price]]-Price_Data[[#This Row],[Price Change]],LOG(_xlpm.current/_xlpm.prev))</f>
        <v>2.6094076930018386E-4</v>
      </c>
    </row>
    <row r="123" spans="1:6" x14ac:dyDescent="0.25">
      <c r="A123" s="9" t="s">
        <v>3</v>
      </c>
      <c r="B123">
        <v>131</v>
      </c>
      <c r="C123" s="1">
        <v>45317.604166666664</v>
      </c>
      <c r="D123" s="5">
        <v>4890.9701999999997</v>
      </c>
      <c r="E123" s="6">
        <f xml:space="preserve"> IFERROR(Price_Data[[#This Row],[Close Price]]-D122,0)</f>
        <v>-36.960000000000036</v>
      </c>
      <c r="F123" s="4">
        <f>_xlfn.LET(_xlpm.current,Price_Data[[#This Row],[Close Price]],_xlpm.prev,Price_Data[[#This Row],[Close Price]]-Price_Data[[#This Row],[Price Change]],LOG(_xlpm.current/_xlpm.prev))</f>
        <v>-3.2695310491111427E-3</v>
      </c>
    </row>
    <row r="124" spans="1:6" x14ac:dyDescent="0.25">
      <c r="A124" s="9" t="s">
        <v>3</v>
      </c>
      <c r="B124">
        <v>130</v>
      </c>
      <c r="C124" s="1">
        <v>45316.604166666664</v>
      </c>
      <c r="D124" s="5">
        <v>4894.1602000000003</v>
      </c>
      <c r="E124" s="6">
        <f xml:space="preserve"> IFERROR(Price_Data[[#This Row],[Close Price]]-D123,0)</f>
        <v>3.1900000000005093</v>
      </c>
      <c r="F124" s="4">
        <f>_xlfn.LET(_xlpm.current,Price_Data[[#This Row],[Close Price]],_xlpm.prev,Price_Data[[#This Row],[Close Price]]-Price_Data[[#This Row],[Price Change]],LOG(_xlpm.current/_xlpm.prev))</f>
        <v>2.8316422770436228E-4</v>
      </c>
    </row>
    <row r="125" spans="1:6" x14ac:dyDescent="0.25">
      <c r="A125" s="9" t="s">
        <v>3</v>
      </c>
      <c r="B125">
        <v>129</v>
      </c>
      <c r="C125" s="1">
        <v>45315.604166666664</v>
      </c>
      <c r="D125" s="5">
        <v>4868.5497999999998</v>
      </c>
      <c r="E125" s="6">
        <f xml:space="preserve"> IFERROR(Price_Data[[#This Row],[Close Price]]-D124,0)</f>
        <v>-25.610400000000482</v>
      </c>
      <c r="F125" s="4">
        <f>_xlfn.LET(_xlpm.current,Price_Data[[#This Row],[Close Price]],_xlpm.prev,Price_Data[[#This Row],[Close Price]]-Price_Data[[#This Row],[Price Change]],LOG(_xlpm.current/_xlpm.prev))</f>
        <v>-2.278564233295532E-3</v>
      </c>
    </row>
    <row r="126" spans="1:6" x14ac:dyDescent="0.25">
      <c r="A126" s="9" t="s">
        <v>3</v>
      </c>
      <c r="B126">
        <v>128</v>
      </c>
      <c r="C126" s="1">
        <v>45314.604166666664</v>
      </c>
      <c r="D126" s="5">
        <v>4864.6000999999997</v>
      </c>
      <c r="E126" s="6">
        <f xml:space="preserve"> IFERROR(Price_Data[[#This Row],[Close Price]]-D125,0)</f>
        <v>-3.9497000000001208</v>
      </c>
      <c r="F126" s="4">
        <f>_xlfn.LET(_xlpm.current,Price_Data[[#This Row],[Close Price]],_xlpm.prev,Price_Data[[#This Row],[Close Price]]-Price_Data[[#This Row],[Price Change]],LOG(_xlpm.current/_xlpm.prev))</f>
        <v>-3.5247232950342107E-4</v>
      </c>
    </row>
    <row r="127" spans="1:6" x14ac:dyDescent="0.25">
      <c r="A127" s="9" t="s">
        <v>3</v>
      </c>
      <c r="B127">
        <v>127</v>
      </c>
      <c r="C127" s="1">
        <v>45313.604166666664</v>
      </c>
      <c r="D127" s="5">
        <v>4850.4301999999998</v>
      </c>
      <c r="E127" s="6">
        <f xml:space="preserve"> IFERROR(Price_Data[[#This Row],[Close Price]]-D126,0)</f>
        <v>-14.16989999999987</v>
      </c>
      <c r="F127" s="4">
        <f>_xlfn.LET(_xlpm.current,Price_Data[[#This Row],[Close Price]],_xlpm.prev,Price_Data[[#This Row],[Close Price]]-Price_Data[[#This Row],[Price Change]],LOG(_xlpm.current/_xlpm.prev))</f>
        <v>-1.2668851363292946E-3</v>
      </c>
    </row>
    <row r="128" spans="1:6" x14ac:dyDescent="0.25">
      <c r="A128" s="9" t="s">
        <v>3</v>
      </c>
      <c r="B128">
        <v>126</v>
      </c>
      <c r="C128" s="1">
        <v>45310.604166666664</v>
      </c>
      <c r="D128" s="5">
        <v>4839.8100999999997</v>
      </c>
      <c r="E128" s="6">
        <f xml:space="preserve"> IFERROR(Price_Data[[#This Row],[Close Price]]-D127,0)</f>
        <v>-10.620100000000093</v>
      </c>
      <c r="F128" s="4">
        <f>_xlfn.LET(_xlpm.current,Price_Data[[#This Row],[Close Price]],_xlpm.prev,Price_Data[[#This Row],[Close Price]]-Price_Data[[#This Row],[Price Change]],LOG(_xlpm.current/_xlpm.prev))</f>
        <v>-9.5193772932371582E-4</v>
      </c>
    </row>
    <row r="129" spans="1:6" x14ac:dyDescent="0.25">
      <c r="A129" s="9" t="s">
        <v>3</v>
      </c>
      <c r="B129">
        <v>125</v>
      </c>
      <c r="C129" s="1">
        <v>45309.604166666664</v>
      </c>
      <c r="D129" s="5">
        <v>4780.9399000000003</v>
      </c>
      <c r="E129" s="6">
        <f xml:space="preserve"> IFERROR(Price_Data[[#This Row],[Close Price]]-D128,0)</f>
        <v>-58.870199999999386</v>
      </c>
      <c r="F129" s="4">
        <f>_xlfn.LET(_xlpm.current,Price_Data[[#This Row],[Close Price]],_xlpm.prev,Price_Data[[#This Row],[Close Price]]-Price_Data[[#This Row],[Price Change]],LOG(_xlpm.current/_xlpm.prev))</f>
        <v>-5.3150372100574149E-3</v>
      </c>
    </row>
    <row r="130" spans="1:6" x14ac:dyDescent="0.25">
      <c r="A130" s="9" t="s">
        <v>3</v>
      </c>
      <c r="B130">
        <v>124</v>
      </c>
      <c r="C130" s="1">
        <v>45308.604166666664</v>
      </c>
      <c r="D130" s="5">
        <v>4739.21</v>
      </c>
      <c r="E130" s="6">
        <f xml:space="preserve"> IFERROR(Price_Data[[#This Row],[Close Price]]-D129,0)</f>
        <v>-41.729900000000271</v>
      </c>
      <c r="F130" s="4">
        <f>_xlfn.LET(_xlpm.current,Price_Data[[#This Row],[Close Price]],_xlpm.prev,Price_Data[[#This Row],[Close Price]]-Price_Data[[#This Row],[Price Change]],LOG(_xlpm.current/_xlpm.prev))</f>
        <v>-3.8073310948712707E-3</v>
      </c>
    </row>
    <row r="131" spans="1:6" x14ac:dyDescent="0.25">
      <c r="A131" s="9" t="s">
        <v>3</v>
      </c>
      <c r="B131">
        <v>123</v>
      </c>
      <c r="C131" s="1">
        <v>45307.604166666664</v>
      </c>
      <c r="D131" s="5">
        <v>4765.9799999999996</v>
      </c>
      <c r="E131" s="6">
        <f xml:space="preserve"> IFERROR(Price_Data[[#This Row],[Close Price]]-D130,0)</f>
        <v>26.769999999999527</v>
      </c>
      <c r="F131" s="4">
        <f>_xlfn.LET(_xlpm.current,Price_Data[[#This Row],[Close Price]],_xlpm.prev,Price_Data[[#This Row],[Close Price]]-Price_Data[[#This Row],[Price Change]],LOG(_xlpm.current/_xlpm.prev))</f>
        <v>2.4462623092166664E-3</v>
      </c>
    </row>
    <row r="132" spans="1:6" x14ac:dyDescent="0.25">
      <c r="A132" s="9" t="s">
        <v>3</v>
      </c>
      <c r="B132">
        <v>122</v>
      </c>
      <c r="C132" s="1">
        <v>45303.604166666664</v>
      </c>
      <c r="D132" s="5">
        <v>4783.8301000000001</v>
      </c>
      <c r="E132" s="6">
        <f xml:space="preserve"> IFERROR(Price_Data[[#This Row],[Close Price]]-D131,0)</f>
        <v>17.850100000000566</v>
      </c>
      <c r="F132" s="4">
        <f>_xlfn.LET(_xlpm.current,Price_Data[[#This Row],[Close Price]],_xlpm.prev,Price_Data[[#This Row],[Close Price]]-Price_Data[[#This Row],[Price Change]],LOG(_xlpm.current/_xlpm.prev))</f>
        <v>1.6235315421661207E-3</v>
      </c>
    </row>
    <row r="133" spans="1:6" x14ac:dyDescent="0.25">
      <c r="A133" s="9" t="s">
        <v>3</v>
      </c>
      <c r="B133">
        <v>121</v>
      </c>
      <c r="C133" s="1">
        <v>45302.604166666664</v>
      </c>
      <c r="D133" s="5">
        <v>4780.2402000000002</v>
      </c>
      <c r="E133" s="6">
        <f xml:space="preserve"> IFERROR(Price_Data[[#This Row],[Close Price]]-D132,0)</f>
        <v>-3.5898999999999432</v>
      </c>
      <c r="F133" s="4">
        <f>_xlfn.LET(_xlpm.current,Price_Data[[#This Row],[Close Price]],_xlpm.prev,Price_Data[[#This Row],[Close Price]]-Price_Data[[#This Row],[Price Change]],LOG(_xlpm.current/_xlpm.prev))</f>
        <v>-3.2602726347663607E-4</v>
      </c>
    </row>
    <row r="134" spans="1:6" x14ac:dyDescent="0.25">
      <c r="A134" s="9" t="s">
        <v>3</v>
      </c>
      <c r="B134">
        <v>120</v>
      </c>
      <c r="C134" s="1">
        <v>45301.604166666664</v>
      </c>
      <c r="D134" s="5">
        <v>4783.4502000000002</v>
      </c>
      <c r="E134" s="6">
        <f xml:space="preserve"> IFERROR(Price_Data[[#This Row],[Close Price]]-D133,0)</f>
        <v>3.2100000000000364</v>
      </c>
      <c r="F134" s="4">
        <f>_xlfn.LET(_xlpm.current,Price_Data[[#This Row],[Close Price]],_xlpm.prev,Price_Data[[#This Row],[Close Price]]-Price_Data[[#This Row],[Price Change]],LOG(_xlpm.current/_xlpm.prev))</f>
        <v>2.9153711192083628E-4</v>
      </c>
    </row>
    <row r="135" spans="1:6" x14ac:dyDescent="0.25">
      <c r="A135" s="9" t="s">
        <v>3</v>
      </c>
      <c r="B135">
        <v>119</v>
      </c>
      <c r="C135" s="1">
        <v>45300.604166666664</v>
      </c>
      <c r="D135" s="5">
        <v>4756.5</v>
      </c>
      <c r="E135" s="6">
        <f xml:space="preserve"> IFERROR(Price_Data[[#This Row],[Close Price]]-D134,0)</f>
        <v>-26.950200000000223</v>
      </c>
      <c r="F135" s="4">
        <f>_xlfn.LET(_xlpm.current,Price_Data[[#This Row],[Close Price]],_xlpm.prev,Price_Data[[#This Row],[Close Price]]-Price_Data[[#This Row],[Price Change]],LOG(_xlpm.current/_xlpm.prev))</f>
        <v>-2.4537558449535665E-3</v>
      </c>
    </row>
    <row r="136" spans="1:6" x14ac:dyDescent="0.25">
      <c r="A136" s="9" t="s">
        <v>3</v>
      </c>
      <c r="B136">
        <v>118</v>
      </c>
      <c r="C136" s="1">
        <v>45299.604166666664</v>
      </c>
      <c r="D136" s="5">
        <v>4763.54</v>
      </c>
      <c r="E136" s="6">
        <f xml:space="preserve"> IFERROR(Price_Data[[#This Row],[Close Price]]-D135,0)</f>
        <v>7.0399999999999636</v>
      </c>
      <c r="F136" s="4">
        <f>_xlfn.LET(_xlpm.current,Price_Data[[#This Row],[Close Price]],_xlpm.prev,Price_Data[[#This Row],[Close Price]]-Price_Data[[#This Row],[Price Change]],LOG(_xlpm.current/_xlpm.prev))</f>
        <v>6.4231530748143579E-4</v>
      </c>
    </row>
    <row r="137" spans="1:6" x14ac:dyDescent="0.25">
      <c r="A137" s="9" t="s">
        <v>3</v>
      </c>
      <c r="B137">
        <v>117</v>
      </c>
      <c r="C137" s="1">
        <v>45296.604166666664</v>
      </c>
      <c r="D137" s="5">
        <v>4697.2402000000002</v>
      </c>
      <c r="E137" s="6">
        <f xml:space="preserve"> IFERROR(Price_Data[[#This Row],[Close Price]]-D136,0)</f>
        <v>-66.299799999999777</v>
      </c>
      <c r="F137" s="4">
        <f>_xlfn.LET(_xlpm.current,Price_Data[[#This Row],[Close Price]],_xlpm.prev,Price_Data[[#This Row],[Close Price]]-Price_Data[[#This Row],[Price Change]],LOG(_xlpm.current/_xlpm.prev))</f>
        <v>-6.0870473785383647E-3</v>
      </c>
    </row>
    <row r="138" spans="1:6" x14ac:dyDescent="0.25">
      <c r="A138" s="9" t="s">
        <v>3</v>
      </c>
      <c r="B138">
        <v>116</v>
      </c>
      <c r="C138" s="1">
        <v>45295.604166666664</v>
      </c>
      <c r="D138" s="5">
        <v>4688.6801999999998</v>
      </c>
      <c r="E138" s="6">
        <f xml:space="preserve"> IFERROR(Price_Data[[#This Row],[Close Price]]-D137,0)</f>
        <v>-8.5600000000004002</v>
      </c>
      <c r="F138" s="4">
        <f>_xlfn.LET(_xlpm.current,Price_Data[[#This Row],[Close Price]],_xlpm.prev,Price_Data[[#This Row],[Close Price]]-Price_Data[[#This Row],[Price Change]],LOG(_xlpm.current/_xlpm.prev))</f>
        <v>-7.9215711136621848E-4</v>
      </c>
    </row>
    <row r="139" spans="1:6" x14ac:dyDescent="0.25">
      <c r="A139" s="9" t="s">
        <v>3</v>
      </c>
      <c r="B139">
        <v>115</v>
      </c>
      <c r="C139" s="1">
        <v>45294.604166666664</v>
      </c>
      <c r="D139" s="5">
        <v>4704.8100999999997</v>
      </c>
      <c r="E139" s="6">
        <f xml:space="preserve"> IFERROR(Price_Data[[#This Row],[Close Price]]-D138,0)</f>
        <v>16.129899999999907</v>
      </c>
      <c r="F139" s="4">
        <f>_xlfn.LET(_xlpm.current,Price_Data[[#This Row],[Close Price]],_xlpm.prev,Price_Data[[#This Row],[Close Price]]-Price_Data[[#This Row],[Price Change]],LOG(_xlpm.current/_xlpm.prev))</f>
        <v>1.4914868115988339E-3</v>
      </c>
    </row>
    <row r="140" spans="1:6" x14ac:dyDescent="0.25">
      <c r="A140" s="9" t="s">
        <v>3</v>
      </c>
      <c r="B140">
        <v>114</v>
      </c>
      <c r="C140" s="1">
        <v>45293.604166666664</v>
      </c>
      <c r="D140" s="5">
        <v>4742.8301000000001</v>
      </c>
      <c r="E140" s="6">
        <f xml:space="preserve"> IFERROR(Price_Data[[#This Row],[Close Price]]-D139,0)</f>
        <v>38.020000000000437</v>
      </c>
      <c r="F140" s="4">
        <f>_xlfn.LET(_xlpm.current,Price_Data[[#This Row],[Close Price]],_xlpm.prev,Price_Data[[#This Row],[Close Price]]-Price_Data[[#This Row],[Price Change]],LOG(_xlpm.current/_xlpm.prev))</f>
        <v>3.4954687073578518E-3</v>
      </c>
    </row>
    <row r="141" spans="1:6" x14ac:dyDescent="0.25">
      <c r="A141" s="9" t="s">
        <v>3</v>
      </c>
      <c r="B141">
        <v>113</v>
      </c>
      <c r="C141" s="1">
        <v>45289.604166666664</v>
      </c>
      <c r="D141" s="5">
        <v>4769.8301000000001</v>
      </c>
      <c r="E141" s="6">
        <f xml:space="preserve"> IFERROR(Price_Data[[#This Row],[Close Price]]-D140,0)</f>
        <v>27</v>
      </c>
      <c r="F141" s="4">
        <f>_xlfn.LET(_xlpm.current,Price_Data[[#This Row],[Close Price]],_xlpm.prev,Price_Data[[#This Row],[Close Price]]-Price_Data[[#This Row],[Price Change]],LOG(_xlpm.current/_xlpm.prev))</f>
        <v>2.4653424496177225E-3</v>
      </c>
    </row>
    <row r="142" spans="1:6" x14ac:dyDescent="0.25">
      <c r="A142" s="9" t="s">
        <v>3</v>
      </c>
      <c r="B142">
        <v>112</v>
      </c>
      <c r="C142" s="1">
        <v>45288.604166666664</v>
      </c>
      <c r="D142" s="5">
        <v>4783.3500999999997</v>
      </c>
      <c r="E142" s="6">
        <f xml:space="preserve"> IFERROR(Price_Data[[#This Row],[Close Price]]-D141,0)</f>
        <v>13.519999999999527</v>
      </c>
      <c r="F142" s="4">
        <f>_xlfn.LET(_xlpm.current,Price_Data[[#This Row],[Close Price]],_xlpm.prev,Price_Data[[#This Row],[Close Price]]-Price_Data[[#This Row],[Price Change]],LOG(_xlpm.current/_xlpm.prev))</f>
        <v>1.2292587792778885E-3</v>
      </c>
    </row>
    <row r="143" spans="1:6" x14ac:dyDescent="0.25">
      <c r="A143" s="9" t="s">
        <v>3</v>
      </c>
      <c r="B143">
        <v>111</v>
      </c>
      <c r="C143" s="1">
        <v>45287.604166666664</v>
      </c>
      <c r="D143" s="5">
        <v>4781.5801000000001</v>
      </c>
      <c r="E143" s="6">
        <f xml:space="preserve"> IFERROR(Price_Data[[#This Row],[Close Price]]-D142,0)</f>
        <v>-1.7699999999995271</v>
      </c>
      <c r="F143" s="4">
        <f>_xlfn.LET(_xlpm.current,Price_Data[[#This Row],[Close Price]],_xlpm.prev,Price_Data[[#This Row],[Close Price]]-Price_Data[[#This Row],[Price Change]],LOG(_xlpm.current/_xlpm.prev))</f>
        <v>-1.6073326739863059E-4</v>
      </c>
    </row>
    <row r="144" spans="1:6" x14ac:dyDescent="0.25">
      <c r="A144" s="9" t="s">
        <v>3</v>
      </c>
      <c r="B144">
        <v>110</v>
      </c>
      <c r="C144" s="1">
        <v>45286.604166666664</v>
      </c>
      <c r="D144" s="5">
        <v>4774.75</v>
      </c>
      <c r="E144" s="6">
        <f xml:space="preserve"> IFERROR(Price_Data[[#This Row],[Close Price]]-D143,0)</f>
        <v>-6.8301000000001295</v>
      </c>
      <c r="F144" s="4">
        <f>_xlfn.LET(_xlpm.current,Price_Data[[#This Row],[Close Price]],_xlpm.prev,Price_Data[[#This Row],[Close Price]]-Price_Data[[#This Row],[Price Change]],LOG(_xlpm.current/_xlpm.prev))</f>
        <v>-6.207979872796096E-4</v>
      </c>
    </row>
    <row r="145" spans="1:6" x14ac:dyDescent="0.25">
      <c r="A145" s="9" t="s">
        <v>3</v>
      </c>
      <c r="B145">
        <v>109</v>
      </c>
      <c r="C145" s="1">
        <v>45282.604166666664</v>
      </c>
      <c r="D145" s="5">
        <v>4754.6298999999999</v>
      </c>
      <c r="E145" s="6">
        <f xml:space="preserve"> IFERROR(Price_Data[[#This Row],[Close Price]]-D144,0)</f>
        <v>-20.120100000000093</v>
      </c>
      <c r="F145" s="4">
        <f>_xlfn.LET(_xlpm.current,Price_Data[[#This Row],[Close Price]],_xlpm.prev,Price_Data[[#This Row],[Close Price]]-Price_Data[[#This Row],[Price Change]],LOG(_xlpm.current/_xlpm.prev))</f>
        <v>-1.8339202511686865E-3</v>
      </c>
    </row>
    <row r="146" spans="1:6" x14ac:dyDescent="0.25">
      <c r="A146" s="9" t="s">
        <v>3</v>
      </c>
      <c r="B146">
        <v>108</v>
      </c>
      <c r="C146" s="1">
        <v>45281.604166666664</v>
      </c>
      <c r="D146" s="5">
        <v>4746.75</v>
      </c>
      <c r="E146" s="6">
        <f xml:space="preserve"> IFERROR(Price_Data[[#This Row],[Close Price]]-D145,0)</f>
        <v>-7.8798999999999069</v>
      </c>
      <c r="F146" s="4">
        <f>_xlfn.LET(_xlpm.current,Price_Data[[#This Row],[Close Price]],_xlpm.prev,Price_Data[[#This Row],[Close Price]]-Price_Data[[#This Row],[Price Change]],LOG(_xlpm.current/_xlpm.prev))</f>
        <v>-7.2035807610557198E-4</v>
      </c>
    </row>
    <row r="147" spans="1:6" x14ac:dyDescent="0.25">
      <c r="A147" s="9" t="s">
        <v>3</v>
      </c>
      <c r="B147">
        <v>107</v>
      </c>
      <c r="C147" s="1">
        <v>45280.604166666664</v>
      </c>
      <c r="D147" s="5">
        <v>4698.3500999999997</v>
      </c>
      <c r="E147" s="6">
        <f xml:space="preserve"> IFERROR(Price_Data[[#This Row],[Close Price]]-D146,0)</f>
        <v>-48.399900000000343</v>
      </c>
      <c r="F147" s="4">
        <f>_xlfn.LET(_xlpm.current,Price_Data[[#This Row],[Close Price]],_xlpm.prev,Price_Data[[#This Row],[Close Price]]-Price_Data[[#This Row],[Price Change]],LOG(_xlpm.current/_xlpm.prev))</f>
        <v>-4.450983739801859E-3</v>
      </c>
    </row>
    <row r="148" spans="1:6" x14ac:dyDescent="0.25">
      <c r="A148" s="9" t="s">
        <v>3</v>
      </c>
      <c r="B148">
        <v>106</v>
      </c>
      <c r="C148" s="1">
        <v>45279.604166666664</v>
      </c>
      <c r="D148" s="5">
        <v>4768.3701000000001</v>
      </c>
      <c r="E148" s="6">
        <f xml:space="preserve"> IFERROR(Price_Data[[#This Row],[Close Price]]-D147,0)</f>
        <v>70.020000000000437</v>
      </c>
      <c r="F148" s="4">
        <f>_xlfn.LET(_xlpm.current,Price_Data[[#This Row],[Close Price]],_xlpm.prev,Price_Data[[#This Row],[Close Price]]-Price_Data[[#This Row],[Price Change]],LOG(_xlpm.current/_xlpm.prev))</f>
        <v>6.4245807492585754E-3</v>
      </c>
    </row>
    <row r="149" spans="1:6" x14ac:dyDescent="0.25">
      <c r="A149" s="9" t="s">
        <v>3</v>
      </c>
      <c r="B149">
        <v>105</v>
      </c>
      <c r="C149" s="1">
        <v>45278.604166666664</v>
      </c>
      <c r="D149" s="5">
        <v>4740.5600999999997</v>
      </c>
      <c r="E149" s="6">
        <f xml:space="preserve"> IFERROR(Price_Data[[#This Row],[Close Price]]-D148,0)</f>
        <v>-27.8100000000004</v>
      </c>
      <c r="F149" s="4">
        <f>_xlfn.LET(_xlpm.current,Price_Data[[#This Row],[Close Price]],_xlpm.prev,Price_Data[[#This Row],[Close Price]]-Price_Data[[#This Row],[Price Change]],LOG(_xlpm.current/_xlpm.prev))</f>
        <v>-2.5402992183313862E-3</v>
      </c>
    </row>
    <row r="150" spans="1:6" x14ac:dyDescent="0.25">
      <c r="A150" s="9" t="s">
        <v>3</v>
      </c>
      <c r="B150">
        <v>104</v>
      </c>
      <c r="C150" s="1">
        <v>45275.604166666664</v>
      </c>
      <c r="D150" s="5">
        <v>4719.1899000000003</v>
      </c>
      <c r="E150" s="6">
        <f xml:space="preserve"> IFERROR(Price_Data[[#This Row],[Close Price]]-D149,0)</f>
        <v>-21.370199999999386</v>
      </c>
      <c r="F150" s="4">
        <f>_xlfn.LET(_xlpm.current,Price_Data[[#This Row],[Close Price]],_xlpm.prev,Price_Data[[#This Row],[Close Price]]-Price_Data[[#This Row],[Price Change]],LOG(_xlpm.current/_xlpm.prev))</f>
        <v>-1.9622031713953394E-3</v>
      </c>
    </row>
    <row r="151" spans="1:6" x14ac:dyDescent="0.25">
      <c r="A151" s="9" t="s">
        <v>3</v>
      </c>
      <c r="B151">
        <v>103</v>
      </c>
      <c r="C151" s="1">
        <v>45274.604166666664</v>
      </c>
      <c r="D151" s="5">
        <v>4719.5497999999998</v>
      </c>
      <c r="E151" s="6">
        <f xml:space="preserve"> IFERROR(Price_Data[[#This Row],[Close Price]]-D150,0)</f>
        <v>0.35989999999947031</v>
      </c>
      <c r="F151" s="4">
        <f>_xlfn.LET(_xlpm.current,Price_Data[[#This Row],[Close Price]],_xlpm.prev,Price_Data[[#This Row],[Close Price]]-Price_Data[[#This Row],[Price Change]],LOG(_xlpm.current/_xlpm.prev))</f>
        <v>3.3119375908330897E-5</v>
      </c>
    </row>
    <row r="152" spans="1:6" x14ac:dyDescent="0.25">
      <c r="A152" s="9" t="s">
        <v>3</v>
      </c>
      <c r="B152">
        <v>102</v>
      </c>
      <c r="C152" s="1">
        <v>45273.604166666664</v>
      </c>
      <c r="D152" s="5">
        <v>4707.0897999999997</v>
      </c>
      <c r="E152" s="6">
        <f xml:space="preserve"> IFERROR(Price_Data[[#This Row],[Close Price]]-D151,0)</f>
        <v>-12.460000000000036</v>
      </c>
      <c r="F152" s="4">
        <f>_xlfn.LET(_xlpm.current,Price_Data[[#This Row],[Close Price]],_xlpm.prev,Price_Data[[#This Row],[Close Price]]-Price_Data[[#This Row],[Price Change]],LOG(_xlpm.current/_xlpm.prev))</f>
        <v>-1.1480893776646907E-3</v>
      </c>
    </row>
    <row r="153" spans="1:6" x14ac:dyDescent="0.25">
      <c r="A153" s="9" t="s">
        <v>3</v>
      </c>
      <c r="B153">
        <v>101</v>
      </c>
      <c r="C153" s="1">
        <v>45272.604166666664</v>
      </c>
      <c r="D153" s="5">
        <v>4643.7002000000002</v>
      </c>
      <c r="E153" s="6">
        <f xml:space="preserve"> IFERROR(Price_Data[[#This Row],[Close Price]]-D152,0)</f>
        <v>-63.389599999999518</v>
      </c>
      <c r="F153" s="4">
        <f>_xlfn.LET(_xlpm.current,Price_Data[[#This Row],[Close Price]],_xlpm.prev,Price_Data[[#This Row],[Close Price]]-Price_Data[[#This Row],[Price Change]],LOG(_xlpm.current/_xlpm.prev))</f>
        <v>-5.8883100183140654E-3</v>
      </c>
    </row>
    <row r="154" spans="1:6" x14ac:dyDescent="0.25">
      <c r="A154" s="9" t="s">
        <v>3</v>
      </c>
      <c r="B154">
        <v>100</v>
      </c>
      <c r="C154" s="1">
        <v>45271.604166666664</v>
      </c>
      <c r="D154" s="5">
        <v>4622.4399000000003</v>
      </c>
      <c r="E154" s="6">
        <f xml:space="preserve"> IFERROR(Price_Data[[#This Row],[Close Price]]-D153,0)</f>
        <v>-21.260299999999916</v>
      </c>
      <c r="F154" s="4">
        <f>_xlfn.LET(_xlpm.current,Price_Data[[#This Row],[Close Price]],_xlpm.prev,Price_Data[[#This Row],[Close Price]]-Price_Data[[#This Row],[Price Change]],LOG(_xlpm.current/_xlpm.prev))</f>
        <v>-1.9929004043097742E-3</v>
      </c>
    </row>
    <row r="155" spans="1:6" x14ac:dyDescent="0.25">
      <c r="A155" s="9" t="s">
        <v>3</v>
      </c>
      <c r="B155">
        <v>99</v>
      </c>
      <c r="C155" s="1">
        <v>45268.604166666664</v>
      </c>
      <c r="D155" s="5">
        <v>4604.3701000000001</v>
      </c>
      <c r="E155" s="6">
        <f xml:space="preserve"> IFERROR(Price_Data[[#This Row],[Close Price]]-D154,0)</f>
        <v>-18.069800000000214</v>
      </c>
      <c r="F155" s="4">
        <f>_xlfn.LET(_xlpm.current,Price_Data[[#This Row],[Close Price]],_xlpm.prev,Price_Data[[#This Row],[Close Price]]-Price_Data[[#This Row],[Price Change]],LOG(_xlpm.current/_xlpm.prev))</f>
        <v>-1.7010482413461283E-3</v>
      </c>
    </row>
    <row r="156" spans="1:6" x14ac:dyDescent="0.25">
      <c r="A156" s="9" t="s">
        <v>3</v>
      </c>
      <c r="B156">
        <v>98</v>
      </c>
      <c r="C156" s="1">
        <v>45267.604166666664</v>
      </c>
      <c r="D156" s="5">
        <v>4585.5897999999997</v>
      </c>
      <c r="E156" s="6">
        <f xml:space="preserve"> IFERROR(Price_Data[[#This Row],[Close Price]]-D155,0)</f>
        <v>-18.780300000000352</v>
      </c>
      <c r="F156" s="4">
        <f>_xlfn.LET(_xlpm.current,Price_Data[[#This Row],[Close Price]],_xlpm.prev,Price_Data[[#This Row],[Close Price]]-Price_Data[[#This Row],[Price Change]],LOG(_xlpm.current/_xlpm.prev))</f>
        <v>-1.7750223289598208E-3</v>
      </c>
    </row>
    <row r="157" spans="1:6" x14ac:dyDescent="0.25">
      <c r="A157" s="9" t="s">
        <v>3</v>
      </c>
      <c r="B157">
        <v>97</v>
      </c>
      <c r="C157" s="1">
        <v>45266.604166666664</v>
      </c>
      <c r="D157" s="5">
        <v>4549.3397999999997</v>
      </c>
      <c r="E157" s="6">
        <f xml:space="preserve"> IFERROR(Price_Data[[#This Row],[Close Price]]-D156,0)</f>
        <v>-36.25</v>
      </c>
      <c r="F157" s="4">
        <f>_xlfn.LET(_xlpm.current,Price_Data[[#This Row],[Close Price]],_xlpm.prev,Price_Data[[#This Row],[Close Price]]-Price_Data[[#This Row],[Price Change]],LOG(_xlpm.current/_xlpm.prev))</f>
        <v>-3.4468262584487594E-3</v>
      </c>
    </row>
    <row r="158" spans="1:6" x14ac:dyDescent="0.25">
      <c r="A158" s="9" t="s">
        <v>3</v>
      </c>
      <c r="B158">
        <v>96</v>
      </c>
      <c r="C158" s="1">
        <v>45265.604166666664</v>
      </c>
      <c r="D158" s="5">
        <v>4567.1801999999998</v>
      </c>
      <c r="E158" s="6">
        <f xml:space="preserve"> IFERROR(Price_Data[[#This Row],[Close Price]]-D157,0)</f>
        <v>17.840400000000045</v>
      </c>
      <c r="F158" s="4">
        <f>_xlfn.LET(_xlpm.current,Price_Data[[#This Row],[Close Price]],_xlpm.prev,Price_Data[[#This Row],[Close Price]]-Price_Data[[#This Row],[Price Change]],LOG(_xlpm.current/_xlpm.prev))</f>
        <v>1.6997707821577892E-3</v>
      </c>
    </row>
    <row r="159" spans="1:6" x14ac:dyDescent="0.25">
      <c r="A159" s="9" t="s">
        <v>3</v>
      </c>
      <c r="B159">
        <v>95</v>
      </c>
      <c r="C159" s="1">
        <v>45264.604166666664</v>
      </c>
      <c r="D159" s="5">
        <v>4569.7798000000003</v>
      </c>
      <c r="E159" s="6">
        <f xml:space="preserve"> IFERROR(Price_Data[[#This Row],[Close Price]]-D158,0)</f>
        <v>2.5996000000004642</v>
      </c>
      <c r="F159" s="4">
        <f>_xlfn.LET(_xlpm.current,Price_Data[[#This Row],[Close Price]],_xlpm.prev,Price_Data[[#This Row],[Close Price]]-Price_Data[[#This Row],[Price Change]],LOG(_xlpm.current/_xlpm.prev))</f>
        <v>2.4712638900011957E-4</v>
      </c>
    </row>
    <row r="160" spans="1:6" x14ac:dyDescent="0.25">
      <c r="A160" s="9" t="s">
        <v>3</v>
      </c>
      <c r="B160">
        <v>94</v>
      </c>
      <c r="C160" s="1">
        <v>45261.604166666664</v>
      </c>
      <c r="D160" s="5">
        <v>4594.6298999999999</v>
      </c>
      <c r="E160" s="6">
        <f xml:space="preserve"> IFERROR(Price_Data[[#This Row],[Close Price]]-D159,0)</f>
        <v>24.850099999999657</v>
      </c>
      <c r="F160" s="4">
        <f>_xlfn.LET(_xlpm.current,Price_Data[[#This Row],[Close Price]],_xlpm.prev,Price_Data[[#This Row],[Close Price]]-Price_Data[[#This Row],[Price Change]],LOG(_xlpm.current/_xlpm.prev))</f>
        <v>2.355260864350246E-3</v>
      </c>
    </row>
    <row r="161" spans="1:6" x14ac:dyDescent="0.25">
      <c r="A161" s="9" t="s">
        <v>3</v>
      </c>
      <c r="B161">
        <v>93</v>
      </c>
      <c r="C161" s="1">
        <v>45260.604166666664</v>
      </c>
      <c r="D161" s="5">
        <v>4567.7997999999998</v>
      </c>
      <c r="E161" s="6">
        <f xml:space="preserve"> IFERROR(Price_Data[[#This Row],[Close Price]]-D160,0)</f>
        <v>-26.83010000000013</v>
      </c>
      <c r="F161" s="4">
        <f>_xlfn.LET(_xlpm.current,Price_Data[[#This Row],[Close Price]],_xlpm.prev,Price_Data[[#This Row],[Close Price]]-Price_Data[[#This Row],[Price Change]],LOG(_xlpm.current/_xlpm.prev))</f>
        <v>-2.5434733068721059E-3</v>
      </c>
    </row>
    <row r="162" spans="1:6" x14ac:dyDescent="0.25">
      <c r="A162" s="9" t="s">
        <v>3</v>
      </c>
      <c r="B162">
        <v>92</v>
      </c>
      <c r="C162" s="1">
        <v>45259.604166666664</v>
      </c>
      <c r="D162" s="5">
        <v>4550.5801000000001</v>
      </c>
      <c r="E162" s="6">
        <f xml:space="preserve"> IFERROR(Price_Data[[#This Row],[Close Price]]-D161,0)</f>
        <v>-17.219699999999648</v>
      </c>
      <c r="F162" s="4">
        <f>_xlfn.LET(_xlpm.current,Price_Data[[#This Row],[Close Price]],_xlpm.prev,Price_Data[[#This Row],[Close Price]]-Price_Data[[#This Row],[Price Change]],LOG(_xlpm.current/_xlpm.prev))</f>
        <v>-1.6402978735516251E-3</v>
      </c>
    </row>
    <row r="163" spans="1:6" x14ac:dyDescent="0.25">
      <c r="A163" s="9" t="s">
        <v>3</v>
      </c>
      <c r="B163">
        <v>91</v>
      </c>
      <c r="C163" s="1">
        <v>45258.604166666664</v>
      </c>
      <c r="D163" s="5">
        <v>4554.8900999999996</v>
      </c>
      <c r="E163" s="6">
        <f xml:space="preserve"> IFERROR(Price_Data[[#This Row],[Close Price]]-D162,0)</f>
        <v>4.3099999999994907</v>
      </c>
      <c r="F163" s="4">
        <f>_xlfn.LET(_xlpm.current,Price_Data[[#This Row],[Close Price]],_xlpm.prev,Price_Data[[#This Row],[Close Price]]-Price_Data[[#This Row],[Price Change]],LOG(_xlpm.current/_xlpm.prev))</f>
        <v>4.1113952726952951E-4</v>
      </c>
    </row>
    <row r="164" spans="1:6" x14ac:dyDescent="0.25">
      <c r="A164" s="9" t="s">
        <v>3</v>
      </c>
      <c r="B164">
        <v>90</v>
      </c>
      <c r="C164" s="1">
        <v>45257.604166666664</v>
      </c>
      <c r="D164" s="5">
        <v>4550.4301999999998</v>
      </c>
      <c r="E164" s="6">
        <f xml:space="preserve"> IFERROR(Price_Data[[#This Row],[Close Price]]-D163,0)</f>
        <v>-4.4598999999998341</v>
      </c>
      <c r="F164" s="4">
        <f>_xlfn.LET(_xlpm.current,Price_Data[[#This Row],[Close Price]],_xlpm.prev,Price_Data[[#This Row],[Close Price]]-Price_Data[[#This Row],[Price Change]],LOG(_xlpm.current/_xlpm.prev))</f>
        <v>-4.254457945293962E-4</v>
      </c>
    </row>
    <row r="165" spans="1:6" x14ac:dyDescent="0.25">
      <c r="A165" s="9" t="s">
        <v>3</v>
      </c>
      <c r="B165">
        <v>89</v>
      </c>
      <c r="C165" s="1">
        <v>45254.604166666664</v>
      </c>
      <c r="D165" s="5">
        <v>4559.3397999999997</v>
      </c>
      <c r="E165" s="6">
        <f xml:space="preserve"> IFERROR(Price_Data[[#This Row],[Close Price]]-D164,0)</f>
        <v>8.9095999999999549</v>
      </c>
      <c r="F165" s="4">
        <f>_xlfn.LET(_xlpm.current,Price_Data[[#This Row],[Close Price]],_xlpm.prev,Price_Data[[#This Row],[Close Price]]-Price_Data[[#This Row],[Price Change]],LOG(_xlpm.current/_xlpm.prev))</f>
        <v>8.4950363174996976E-4</v>
      </c>
    </row>
    <row r="166" spans="1:6" x14ac:dyDescent="0.25">
      <c r="A166" s="9" t="s">
        <v>3</v>
      </c>
      <c r="B166">
        <v>88</v>
      </c>
      <c r="C166" s="1">
        <v>45252.604166666664</v>
      </c>
      <c r="D166" s="5">
        <v>4556.6201000000001</v>
      </c>
      <c r="E166" s="6">
        <f xml:space="preserve"> IFERROR(Price_Data[[#This Row],[Close Price]]-D165,0)</f>
        <v>-2.7196999999996478</v>
      </c>
      <c r="F166" s="4">
        <f>_xlfn.LET(_xlpm.current,Price_Data[[#This Row],[Close Price]],_xlpm.prev,Price_Data[[#This Row],[Close Price]]-Price_Data[[#This Row],[Price Change]],LOG(_xlpm.current/_xlpm.prev))</f>
        <v>-2.5913908144259E-4</v>
      </c>
    </row>
    <row r="167" spans="1:6" x14ac:dyDescent="0.25">
      <c r="A167" s="9" t="s">
        <v>3</v>
      </c>
      <c r="B167">
        <v>87</v>
      </c>
      <c r="C167" s="1">
        <v>45251.604166666664</v>
      </c>
      <c r="D167" s="5">
        <v>4538.1899000000003</v>
      </c>
      <c r="E167" s="6">
        <f xml:space="preserve"> IFERROR(Price_Data[[#This Row],[Close Price]]-D166,0)</f>
        <v>-18.430199999999786</v>
      </c>
      <c r="F167" s="4">
        <f>_xlfn.LET(_xlpm.current,Price_Data[[#This Row],[Close Price]],_xlpm.prev,Price_Data[[#This Row],[Close Price]]-Price_Data[[#This Row],[Price Change]],LOG(_xlpm.current/_xlpm.prev))</f>
        <v>-1.7601566424699983E-3</v>
      </c>
    </row>
    <row r="168" spans="1:6" x14ac:dyDescent="0.25">
      <c r="A168" s="9" t="s">
        <v>3</v>
      </c>
      <c r="B168">
        <v>86</v>
      </c>
      <c r="C168" s="1">
        <v>45250.604166666664</v>
      </c>
      <c r="D168" s="5">
        <v>4547.3798999999999</v>
      </c>
      <c r="E168" s="6">
        <f xml:space="preserve"> IFERROR(Price_Data[[#This Row],[Close Price]]-D167,0)</f>
        <v>9.1899999999995998</v>
      </c>
      <c r="F168" s="4">
        <f>_xlfn.LET(_xlpm.current,Price_Data[[#This Row],[Close Price]],_xlpm.prev,Price_Data[[#This Row],[Close Price]]-Price_Data[[#This Row],[Price Change]],LOG(_xlpm.current/_xlpm.prev))</f>
        <v>8.7857288815044717E-4</v>
      </c>
    </row>
    <row r="169" spans="1:6" x14ac:dyDescent="0.25">
      <c r="A169" s="9" t="s">
        <v>3</v>
      </c>
      <c r="B169">
        <v>85</v>
      </c>
      <c r="C169" s="1">
        <v>45247.604166666664</v>
      </c>
      <c r="D169" s="5">
        <v>4514.0200000000004</v>
      </c>
      <c r="E169" s="6">
        <f xml:space="preserve"> IFERROR(Price_Data[[#This Row],[Close Price]]-D168,0)</f>
        <v>-33.35989999999947</v>
      </c>
      <c r="F169" s="4">
        <f>_xlfn.LET(_xlpm.current,Price_Data[[#This Row],[Close Price]],_xlpm.prev,Price_Data[[#This Row],[Close Price]]-Price_Data[[#This Row],[Price Change]],LOG(_xlpm.current/_xlpm.prev))</f>
        <v>-3.1977588679112114E-3</v>
      </c>
    </row>
    <row r="170" spans="1:6" x14ac:dyDescent="0.25">
      <c r="A170" s="9" t="s">
        <v>3</v>
      </c>
      <c r="B170">
        <v>84</v>
      </c>
      <c r="C170" s="1">
        <v>45246.604166666664</v>
      </c>
      <c r="D170" s="5">
        <v>4508.2402000000002</v>
      </c>
      <c r="E170" s="6">
        <f xml:space="preserve"> IFERROR(Price_Data[[#This Row],[Close Price]]-D169,0)</f>
        <v>-5.7798000000002503</v>
      </c>
      <c r="F170" s="4">
        <f>_xlfn.LET(_xlpm.current,Price_Data[[#This Row],[Close Price]],_xlpm.prev,Price_Data[[#This Row],[Close Price]]-Price_Data[[#This Row],[Price Change]],LOG(_xlpm.current/_xlpm.prev))</f>
        <v>-5.5643165553597926E-4</v>
      </c>
    </row>
    <row r="171" spans="1:6" x14ac:dyDescent="0.25">
      <c r="A171" s="9" t="s">
        <v>3</v>
      </c>
      <c r="B171">
        <v>83</v>
      </c>
      <c r="C171" s="1">
        <v>45245.604166666664</v>
      </c>
      <c r="D171" s="5">
        <v>4502.8798999999999</v>
      </c>
      <c r="E171" s="6">
        <f xml:space="preserve"> IFERROR(Price_Data[[#This Row],[Close Price]]-D170,0)</f>
        <v>-5.3603000000002794</v>
      </c>
      <c r="F171" s="4">
        <f>_xlfn.LET(_xlpm.current,Price_Data[[#This Row],[Close Price]],_xlpm.prev,Price_Data[[#This Row],[Close Price]]-Price_Data[[#This Row],[Price Change]],LOG(_xlpm.current/_xlpm.prev))</f>
        <v>-5.1668359983984727E-4</v>
      </c>
    </row>
    <row r="172" spans="1:6" x14ac:dyDescent="0.25">
      <c r="A172" s="9" t="s">
        <v>3</v>
      </c>
      <c r="B172">
        <v>82</v>
      </c>
      <c r="C172" s="1">
        <v>45244.604166666664</v>
      </c>
      <c r="D172" s="5">
        <v>4495.7002000000002</v>
      </c>
      <c r="E172" s="6">
        <f xml:space="preserve"> IFERROR(Price_Data[[#This Row],[Close Price]]-D171,0)</f>
        <v>-7.1796999999996842</v>
      </c>
      <c r="F172" s="4">
        <f>_xlfn.LET(_xlpm.current,Price_Data[[#This Row],[Close Price]],_xlpm.prev,Price_Data[[#This Row],[Close Price]]-Price_Data[[#This Row],[Price Change]],LOG(_xlpm.current/_xlpm.prev))</f>
        <v>-6.9302150311014593E-4</v>
      </c>
    </row>
    <row r="173" spans="1:6" x14ac:dyDescent="0.25">
      <c r="A173" s="9" t="s">
        <v>3</v>
      </c>
      <c r="B173">
        <v>81</v>
      </c>
      <c r="C173" s="1">
        <v>45243.604166666664</v>
      </c>
      <c r="D173" s="5">
        <v>4411.5497999999998</v>
      </c>
      <c r="E173" s="6">
        <f xml:space="preserve"> IFERROR(Price_Data[[#This Row],[Close Price]]-D172,0)</f>
        <v>-84.150400000000445</v>
      </c>
      <c r="F173" s="4">
        <f>_xlfn.LET(_xlpm.current,Price_Data[[#This Row],[Close Price]],_xlpm.prev,Price_Data[[#This Row],[Close Price]]-Price_Data[[#This Row],[Price Change]],LOG(_xlpm.current/_xlpm.prev))</f>
        <v>-8.206156044909688E-3</v>
      </c>
    </row>
    <row r="174" spans="1:6" x14ac:dyDescent="0.25">
      <c r="A174" s="9" t="s">
        <v>3</v>
      </c>
      <c r="B174">
        <v>80</v>
      </c>
      <c r="C174" s="1">
        <v>45240.604166666664</v>
      </c>
      <c r="D174" s="5">
        <v>4415.2402000000002</v>
      </c>
      <c r="E174" s="6">
        <f xml:space="preserve"> IFERROR(Price_Data[[#This Row],[Close Price]]-D173,0)</f>
        <v>3.6904000000004089</v>
      </c>
      <c r="F174" s="4">
        <f>_xlfn.LET(_xlpm.current,Price_Data[[#This Row],[Close Price]],_xlpm.prev,Price_Data[[#This Row],[Close Price]]-Price_Data[[#This Row],[Price Change]],LOG(_xlpm.current/_xlpm.prev))</f>
        <v>3.6314910616450877E-4</v>
      </c>
    </row>
    <row r="175" spans="1:6" x14ac:dyDescent="0.25">
      <c r="A175" s="9" t="s">
        <v>3</v>
      </c>
      <c r="B175">
        <v>79</v>
      </c>
      <c r="C175" s="1">
        <v>45239.604166666664</v>
      </c>
      <c r="D175" s="5">
        <v>4347.3500999999997</v>
      </c>
      <c r="E175" s="6">
        <f xml:space="preserve"> IFERROR(Price_Data[[#This Row],[Close Price]]-D174,0)</f>
        <v>-67.89010000000053</v>
      </c>
      <c r="F175" s="4">
        <f>_xlfn.LET(_xlpm.current,Price_Data[[#This Row],[Close Price]],_xlpm.prev,Price_Data[[#This Row],[Close Price]]-Price_Data[[#This Row],[Price Change]],LOG(_xlpm.current/_xlpm.prev))</f>
        <v>-6.729719128845936E-3</v>
      </c>
    </row>
    <row r="176" spans="1:6" x14ac:dyDescent="0.25">
      <c r="A176" s="9" t="s">
        <v>3</v>
      </c>
      <c r="B176">
        <v>78</v>
      </c>
      <c r="C176" s="1">
        <v>45238.604166666664</v>
      </c>
      <c r="D176" s="5">
        <v>4382.7798000000003</v>
      </c>
      <c r="E176" s="6">
        <f xml:space="preserve"> IFERROR(Price_Data[[#This Row],[Close Price]]-D175,0)</f>
        <v>35.429700000000594</v>
      </c>
      <c r="F176" s="4">
        <f>_xlfn.LET(_xlpm.current,Price_Data[[#This Row],[Close Price]],_xlpm.prev,Price_Data[[#This Row],[Close Price]]-Price_Data[[#This Row],[Price Change]],LOG(_xlpm.current/_xlpm.prev))</f>
        <v>3.5250352186670356E-3</v>
      </c>
    </row>
    <row r="177" spans="1:6" x14ac:dyDescent="0.25">
      <c r="A177" s="9" t="s">
        <v>3</v>
      </c>
      <c r="B177">
        <v>77</v>
      </c>
      <c r="C177" s="1">
        <v>45237.604166666664</v>
      </c>
      <c r="D177" s="5">
        <v>4378.3798999999999</v>
      </c>
      <c r="E177" s="6">
        <f xml:space="preserve"> IFERROR(Price_Data[[#This Row],[Close Price]]-D176,0)</f>
        <v>-4.3999000000003434</v>
      </c>
      <c r="F177" s="4">
        <f>_xlfn.LET(_xlpm.current,Price_Data[[#This Row],[Close Price]],_xlpm.prev,Price_Data[[#This Row],[Close Price]]-Price_Data[[#This Row],[Price Change]],LOG(_xlpm.current/_xlpm.prev))</f>
        <v>-4.3620993498650929E-4</v>
      </c>
    </row>
    <row r="178" spans="1:6" x14ac:dyDescent="0.25">
      <c r="A178" s="9" t="s">
        <v>3</v>
      </c>
      <c r="B178">
        <v>76</v>
      </c>
      <c r="C178" s="1">
        <v>45236.604166666664</v>
      </c>
      <c r="D178" s="5">
        <v>4365.9799999999996</v>
      </c>
      <c r="E178" s="6">
        <f xml:space="preserve"> IFERROR(Price_Data[[#This Row],[Close Price]]-D177,0)</f>
        <v>-12.399900000000343</v>
      </c>
      <c r="F178" s="4">
        <f>_xlfn.LET(_xlpm.current,Price_Data[[#This Row],[Close Price]],_xlpm.prev,Price_Data[[#This Row],[Close Price]]-Price_Data[[#This Row],[Price Change]],LOG(_xlpm.current/_xlpm.prev))</f>
        <v>-1.2316994765453977E-3</v>
      </c>
    </row>
    <row r="179" spans="1:6" x14ac:dyDescent="0.25">
      <c r="A179" s="9" t="s">
        <v>3</v>
      </c>
      <c r="B179">
        <v>75</v>
      </c>
      <c r="C179" s="1">
        <v>45233.5625</v>
      </c>
      <c r="D179" s="5">
        <v>4358.3397999999997</v>
      </c>
      <c r="E179" s="6">
        <f xml:space="preserve"> IFERROR(Price_Data[[#This Row],[Close Price]]-D178,0)</f>
        <v>-7.6401999999998225</v>
      </c>
      <c r="F179" s="4">
        <f>_xlfn.LET(_xlpm.current,Price_Data[[#This Row],[Close Price]],_xlpm.prev,Price_Data[[#This Row],[Close Price]]-Price_Data[[#This Row],[Price Change]],LOG(_xlpm.current/_xlpm.prev))</f>
        <v>-7.6065472723004857E-4</v>
      </c>
    </row>
    <row r="180" spans="1:6" x14ac:dyDescent="0.25">
      <c r="A180" s="9" t="s">
        <v>3</v>
      </c>
      <c r="B180">
        <v>74</v>
      </c>
      <c r="C180" s="1">
        <v>45232.5625</v>
      </c>
      <c r="D180" s="5">
        <v>4317.7798000000003</v>
      </c>
      <c r="E180" s="6">
        <f xml:space="preserve"> IFERROR(Price_Data[[#This Row],[Close Price]]-D179,0)</f>
        <v>-40.559999999999491</v>
      </c>
      <c r="F180" s="4">
        <f>_xlfn.LET(_xlpm.current,Price_Data[[#This Row],[Close Price]],_xlpm.prev,Price_Data[[#This Row],[Close Price]]-Price_Data[[#This Row],[Price Change]],LOG(_xlpm.current/_xlpm.prev))</f>
        <v>-4.0605969772642596E-3</v>
      </c>
    </row>
    <row r="181" spans="1:6" x14ac:dyDescent="0.25">
      <c r="A181" s="9" t="s">
        <v>3</v>
      </c>
      <c r="B181">
        <v>73</v>
      </c>
      <c r="C181" s="1">
        <v>45231.5625</v>
      </c>
      <c r="D181" s="5">
        <v>4237.8599000000004</v>
      </c>
      <c r="E181" s="6">
        <f xml:space="preserve"> IFERROR(Price_Data[[#This Row],[Close Price]]-D180,0)</f>
        <v>-79.91989999999987</v>
      </c>
      <c r="F181" s="4">
        <f>_xlfn.LET(_xlpm.current,Price_Data[[#This Row],[Close Price]],_xlpm.prev,Price_Data[[#This Row],[Close Price]]-Price_Data[[#This Row],[Price Change]],LOG(_xlpm.current/_xlpm.prev))</f>
        <v>-8.1138950149101195E-3</v>
      </c>
    </row>
    <row r="182" spans="1:6" x14ac:dyDescent="0.25">
      <c r="A182" s="9" t="s">
        <v>3</v>
      </c>
      <c r="B182">
        <v>72</v>
      </c>
      <c r="C182" s="1">
        <v>45230.5625</v>
      </c>
      <c r="D182" s="5">
        <v>4193.7997999999998</v>
      </c>
      <c r="E182" s="6">
        <f xml:space="preserve"> IFERROR(Price_Data[[#This Row],[Close Price]]-D181,0)</f>
        <v>-44.060100000000602</v>
      </c>
      <c r="F182" s="4">
        <f>_xlfn.LET(_xlpm.current,Price_Data[[#This Row],[Close Price]],_xlpm.prev,Price_Data[[#This Row],[Close Price]]-Price_Data[[#This Row],[Price Change]],LOG(_xlpm.current/_xlpm.prev))</f>
        <v>-4.538900561880924E-3</v>
      </c>
    </row>
    <row r="183" spans="1:6" x14ac:dyDescent="0.25">
      <c r="A183" s="9" t="s">
        <v>3</v>
      </c>
      <c r="B183">
        <v>71</v>
      </c>
      <c r="C183" s="1">
        <v>45229.5625</v>
      </c>
      <c r="D183" s="5">
        <v>4166.8198000000002</v>
      </c>
      <c r="E183" s="6">
        <f xml:space="preserve"> IFERROR(Price_Data[[#This Row],[Close Price]]-D182,0)</f>
        <v>-26.979999999999563</v>
      </c>
      <c r="F183" s="4">
        <f>_xlfn.LET(_xlpm.current,Price_Data[[#This Row],[Close Price]],_xlpm.prev,Price_Data[[#This Row],[Close Price]]-Price_Data[[#This Row],[Price Change]],LOG(_xlpm.current/_xlpm.prev))</f>
        <v>-2.8029754626183517E-3</v>
      </c>
    </row>
    <row r="184" spans="1:6" x14ac:dyDescent="0.25">
      <c r="A184" s="9" t="s">
        <v>3</v>
      </c>
      <c r="B184">
        <v>70</v>
      </c>
      <c r="C184" s="1">
        <v>45226.5625</v>
      </c>
      <c r="D184" s="5">
        <v>4117.3701000000001</v>
      </c>
      <c r="E184" s="6">
        <f xml:space="preserve"> IFERROR(Price_Data[[#This Row],[Close Price]]-D183,0)</f>
        <v>-49.449700000000121</v>
      </c>
      <c r="F184" s="4">
        <f>_xlfn.LET(_xlpm.current,Price_Data[[#This Row],[Close Price]],_xlpm.prev,Price_Data[[#This Row],[Close Price]]-Price_Data[[#This Row],[Price Change]],LOG(_xlpm.current/_xlpm.prev))</f>
        <v>-5.1848127996276822E-3</v>
      </c>
    </row>
    <row r="185" spans="1:6" x14ac:dyDescent="0.25">
      <c r="A185" s="9" t="s">
        <v>3</v>
      </c>
      <c r="B185">
        <v>69</v>
      </c>
      <c r="C185" s="1">
        <v>45225.5625</v>
      </c>
      <c r="D185" s="5">
        <v>4137.2299999999996</v>
      </c>
      <c r="E185" s="6">
        <f xml:space="preserve"> IFERROR(Price_Data[[#This Row],[Close Price]]-D184,0)</f>
        <v>19.85989999999947</v>
      </c>
      <c r="F185" s="4">
        <f>_xlfn.LET(_xlpm.current,Price_Data[[#This Row],[Close Price]],_xlpm.prev,Price_Data[[#This Row],[Close Price]]-Price_Data[[#This Row],[Price Change]],LOG(_xlpm.current/_xlpm.prev))</f>
        <v>2.0897588056577473E-3</v>
      </c>
    </row>
    <row r="186" spans="1:6" x14ac:dyDescent="0.25">
      <c r="A186" s="9" t="s">
        <v>3</v>
      </c>
      <c r="B186">
        <v>68</v>
      </c>
      <c r="C186" s="1">
        <v>45224.5625</v>
      </c>
      <c r="D186" s="5">
        <v>4186.7700000000004</v>
      </c>
      <c r="E186" s="6">
        <f xml:space="preserve"> IFERROR(Price_Data[[#This Row],[Close Price]]-D185,0)</f>
        <v>49.540000000000873</v>
      </c>
      <c r="F186" s="4">
        <f>_xlfn.LET(_xlpm.current,Price_Data[[#This Row],[Close Price]],_xlpm.prev,Price_Data[[#This Row],[Close Price]]-Price_Data[[#This Row],[Price Change]],LOG(_xlpm.current/_xlpm.prev))</f>
        <v>5.169438409011547E-3</v>
      </c>
    </row>
    <row r="187" spans="1:6" x14ac:dyDescent="0.25">
      <c r="A187" s="9" t="s">
        <v>3</v>
      </c>
      <c r="B187">
        <v>67</v>
      </c>
      <c r="C187" s="1">
        <v>45223.5625</v>
      </c>
      <c r="D187" s="5">
        <v>4247.6801999999998</v>
      </c>
      <c r="E187" s="6">
        <f xml:space="preserve"> IFERROR(Price_Data[[#This Row],[Close Price]]-D186,0)</f>
        <v>60.91019999999935</v>
      </c>
      <c r="F187" s="4">
        <f>_xlfn.LET(_xlpm.current,Price_Data[[#This Row],[Close Price]],_xlpm.prev,Price_Data[[#This Row],[Close Price]]-Price_Data[[#This Row],[Price Change]],LOG(_xlpm.current/_xlpm.prev))</f>
        <v>6.2727084735405454E-3</v>
      </c>
    </row>
    <row r="188" spans="1:6" x14ac:dyDescent="0.25">
      <c r="A188" s="9" t="s">
        <v>3</v>
      </c>
      <c r="B188">
        <v>66</v>
      </c>
      <c r="C188" s="1">
        <v>45222.5625</v>
      </c>
      <c r="D188" s="5">
        <v>4217.04</v>
      </c>
      <c r="E188" s="6">
        <f xml:space="preserve"> IFERROR(Price_Data[[#This Row],[Close Price]]-D187,0)</f>
        <v>-30.640199999999822</v>
      </c>
      <c r="F188" s="4">
        <f>_xlfn.LET(_xlpm.current,Price_Data[[#This Row],[Close Price]],_xlpm.prev,Price_Data[[#This Row],[Close Price]]-Price_Data[[#This Row],[Price Change]],LOG(_xlpm.current/_xlpm.prev))</f>
        <v>-3.1440916152508805E-3</v>
      </c>
    </row>
    <row r="189" spans="1:6" x14ac:dyDescent="0.25">
      <c r="A189" s="9" t="s">
        <v>3</v>
      </c>
      <c r="B189">
        <v>65</v>
      </c>
      <c r="C189" s="1">
        <v>45219.5625</v>
      </c>
      <c r="D189" s="5">
        <v>4224.1602000000003</v>
      </c>
      <c r="E189" s="6">
        <f xml:space="preserve"> IFERROR(Price_Data[[#This Row],[Close Price]]-D188,0)</f>
        <v>7.1202000000002954</v>
      </c>
      <c r="F189" s="4">
        <f>_xlfn.LET(_xlpm.current,Price_Data[[#This Row],[Close Price]],_xlpm.prev,Price_Data[[#This Row],[Close Price]]-Price_Data[[#This Row],[Price Change]],LOG(_xlpm.current/_xlpm.prev))</f>
        <v>7.3265986593511222E-4</v>
      </c>
    </row>
    <row r="190" spans="1:6" x14ac:dyDescent="0.25">
      <c r="A190" s="9" t="s">
        <v>3</v>
      </c>
      <c r="B190">
        <v>64</v>
      </c>
      <c r="C190" s="1">
        <v>45218.5625</v>
      </c>
      <c r="D190" s="5">
        <v>4278</v>
      </c>
      <c r="E190" s="6">
        <f xml:space="preserve"> IFERROR(Price_Data[[#This Row],[Close Price]]-D189,0)</f>
        <v>53.839799999999741</v>
      </c>
      <c r="F190" s="4">
        <f>_xlfn.LET(_xlpm.current,Price_Data[[#This Row],[Close Price]],_xlpm.prev,Price_Data[[#This Row],[Close Price]]-Price_Data[[#This Row],[Price Change]],LOG(_xlpm.current/_xlpm.prev))</f>
        <v>5.5003999103455702E-3</v>
      </c>
    </row>
    <row r="191" spans="1:6" x14ac:dyDescent="0.25">
      <c r="A191" s="9" t="s">
        <v>3</v>
      </c>
      <c r="B191">
        <v>63</v>
      </c>
      <c r="C191" s="1">
        <v>45217.5625</v>
      </c>
      <c r="D191" s="5">
        <v>4314.6000999999997</v>
      </c>
      <c r="E191" s="6">
        <f xml:space="preserve"> IFERROR(Price_Data[[#This Row],[Close Price]]-D190,0)</f>
        <v>36.600099999999657</v>
      </c>
      <c r="F191" s="4">
        <f>_xlfn.LET(_xlpm.current,Price_Data[[#This Row],[Close Price]],_xlpm.prev,Price_Data[[#This Row],[Close Price]]-Price_Data[[#This Row],[Price Change]],LOG(_xlpm.current/_xlpm.prev))</f>
        <v>3.6997689671456882E-3</v>
      </c>
    </row>
    <row r="192" spans="1:6" x14ac:dyDescent="0.25">
      <c r="A192" s="9" t="s">
        <v>3</v>
      </c>
      <c r="B192">
        <v>62</v>
      </c>
      <c r="C192" s="1">
        <v>45216.5625</v>
      </c>
      <c r="D192" s="5">
        <v>4373.2002000000002</v>
      </c>
      <c r="E192" s="6">
        <f xml:space="preserve"> IFERROR(Price_Data[[#This Row],[Close Price]]-D191,0)</f>
        <v>58.600100000000566</v>
      </c>
      <c r="F192" s="4">
        <f>_xlfn.LET(_xlpm.current,Price_Data[[#This Row],[Close Price]],_xlpm.prev,Price_Data[[#This Row],[Close Price]]-Price_Data[[#This Row],[Price Change]],LOG(_xlpm.current/_xlpm.prev))</f>
        <v>5.8588100916897104E-3</v>
      </c>
    </row>
    <row r="193" spans="1:6" x14ac:dyDescent="0.25">
      <c r="A193" s="9" t="s">
        <v>3</v>
      </c>
      <c r="B193">
        <v>61</v>
      </c>
      <c r="C193" s="1">
        <v>45215.5625</v>
      </c>
      <c r="D193" s="5">
        <v>4373.6298999999999</v>
      </c>
      <c r="E193" s="6">
        <f xml:space="preserve"> IFERROR(Price_Data[[#This Row],[Close Price]]-D192,0)</f>
        <v>0.42969999999968422</v>
      </c>
      <c r="F193" s="4">
        <f>_xlfn.LET(_xlpm.current,Price_Data[[#This Row],[Close Price]],_xlpm.prev,Price_Data[[#This Row],[Close Price]]-Price_Data[[#This Row],[Price Change]],LOG(_xlpm.current/_xlpm.prev))</f>
        <v>4.2670621674457128E-5</v>
      </c>
    </row>
    <row r="194" spans="1:6" x14ac:dyDescent="0.25">
      <c r="A194" s="9" t="s">
        <v>3</v>
      </c>
      <c r="B194">
        <v>60</v>
      </c>
      <c r="C194" s="1">
        <v>45212.5625</v>
      </c>
      <c r="D194" s="5">
        <v>4327.7798000000003</v>
      </c>
      <c r="E194" s="6">
        <f xml:space="preserve"> IFERROR(Price_Data[[#This Row],[Close Price]]-D193,0)</f>
        <v>-45.850099999999657</v>
      </c>
      <c r="F194" s="4">
        <f>_xlfn.LET(_xlpm.current,Price_Data[[#This Row],[Close Price]],_xlpm.prev,Price_Data[[#This Row],[Close Price]]-Price_Data[[#This Row],[Price Change]],LOG(_xlpm.current/_xlpm.prev))</f>
        <v>-4.5768744158819477E-3</v>
      </c>
    </row>
    <row r="195" spans="1:6" x14ac:dyDescent="0.25">
      <c r="A195" s="9" t="s">
        <v>3</v>
      </c>
      <c r="B195">
        <v>59</v>
      </c>
      <c r="C195" s="1">
        <v>45211.5625</v>
      </c>
      <c r="D195" s="5">
        <v>4349.6099000000004</v>
      </c>
      <c r="E195" s="6">
        <f xml:space="preserve"> IFERROR(Price_Data[[#This Row],[Close Price]]-D194,0)</f>
        <v>21.83010000000013</v>
      </c>
      <c r="F195" s="4">
        <f>_xlfn.LET(_xlpm.current,Price_Data[[#This Row],[Close Price]],_xlpm.prev,Price_Data[[#This Row],[Close Price]]-Price_Data[[#This Row],[Price Change]],LOG(_xlpm.current/_xlpm.prev))</f>
        <v>2.1851529776256845E-3</v>
      </c>
    </row>
    <row r="196" spans="1:6" x14ac:dyDescent="0.25">
      <c r="A196" s="9" t="s">
        <v>3</v>
      </c>
      <c r="B196">
        <v>58</v>
      </c>
      <c r="C196" s="1">
        <v>45210.5625</v>
      </c>
      <c r="D196" s="5">
        <v>4376.9502000000002</v>
      </c>
      <c r="E196" s="6">
        <f xml:space="preserve"> IFERROR(Price_Data[[#This Row],[Close Price]]-D195,0)</f>
        <v>27.340299999999843</v>
      </c>
      <c r="F196" s="4">
        <f>_xlfn.LET(_xlpm.current,Price_Data[[#This Row],[Close Price]],_xlpm.prev,Price_Data[[#This Row],[Close Price]]-Price_Data[[#This Row],[Price Change]],LOG(_xlpm.current/_xlpm.prev))</f>
        <v>2.721296854054252E-3</v>
      </c>
    </row>
    <row r="197" spans="1:6" x14ac:dyDescent="0.25">
      <c r="A197" s="9" t="s">
        <v>3</v>
      </c>
      <c r="B197">
        <v>57</v>
      </c>
      <c r="C197" s="1">
        <v>45209.5625</v>
      </c>
      <c r="D197" s="5">
        <v>4358.2402000000002</v>
      </c>
      <c r="E197" s="6">
        <f xml:space="preserve"> IFERROR(Price_Data[[#This Row],[Close Price]]-D196,0)</f>
        <v>-18.710000000000036</v>
      </c>
      <c r="F197" s="4">
        <f>_xlfn.LET(_xlpm.current,Price_Data[[#This Row],[Close Price]],_xlpm.prev,Price_Data[[#This Row],[Close Price]]-Price_Data[[#This Row],[Price Change]],LOG(_xlpm.current/_xlpm.prev))</f>
        <v>-1.8604430609050265E-3</v>
      </c>
    </row>
    <row r="198" spans="1:6" x14ac:dyDescent="0.25">
      <c r="A198" s="9" t="s">
        <v>3</v>
      </c>
      <c r="B198">
        <v>56</v>
      </c>
      <c r="C198" s="1">
        <v>45208.5625</v>
      </c>
      <c r="D198" s="5">
        <v>4335.6602000000003</v>
      </c>
      <c r="E198" s="6">
        <f xml:space="preserve"> IFERROR(Price_Data[[#This Row],[Close Price]]-D197,0)</f>
        <v>-22.579999999999927</v>
      </c>
      <c r="F198" s="4">
        <f>_xlfn.LET(_xlpm.current,Price_Data[[#This Row],[Close Price]],_xlpm.prev,Price_Data[[#This Row],[Close Price]]-Price_Data[[#This Row],[Price Change]],LOG(_xlpm.current/_xlpm.prev))</f>
        <v>-2.2559244988152784E-3</v>
      </c>
    </row>
    <row r="199" spans="1:6" x14ac:dyDescent="0.25">
      <c r="A199" s="9" t="s">
        <v>3</v>
      </c>
      <c r="B199">
        <v>55</v>
      </c>
      <c r="C199" s="1">
        <v>45205.5625</v>
      </c>
      <c r="D199" s="5">
        <v>4308.5</v>
      </c>
      <c r="E199" s="6">
        <f xml:space="preserve"> IFERROR(Price_Data[[#This Row],[Close Price]]-D198,0)</f>
        <v>-27.160200000000259</v>
      </c>
      <c r="F199" s="4">
        <f>_xlfn.LET(_xlpm.current,Price_Data[[#This Row],[Close Price]],_xlpm.prev,Price_Data[[#This Row],[Close Price]]-Price_Data[[#This Row],[Price Change]],LOG(_xlpm.current/_xlpm.prev))</f>
        <v>-2.7291404905048565E-3</v>
      </c>
    </row>
    <row r="200" spans="1:6" x14ac:dyDescent="0.25">
      <c r="A200" s="9" t="s">
        <v>3</v>
      </c>
      <c r="B200">
        <v>54</v>
      </c>
      <c r="C200" s="1">
        <v>45204.5625</v>
      </c>
      <c r="D200" s="5">
        <v>4258.1899000000003</v>
      </c>
      <c r="E200" s="6">
        <f xml:space="preserve"> IFERROR(Price_Data[[#This Row],[Close Price]]-D199,0)</f>
        <v>-50.310099999999693</v>
      </c>
      <c r="F200" s="4">
        <f>_xlfn.LET(_xlpm.current,Price_Data[[#This Row],[Close Price]],_xlpm.prev,Price_Data[[#This Row],[Close Price]]-Price_Data[[#This Row],[Price Change]],LOG(_xlpm.current/_xlpm.prev))</f>
        <v>-5.1010717708577218E-3</v>
      </c>
    </row>
    <row r="201" spans="1:6" x14ac:dyDescent="0.25">
      <c r="A201" s="9" t="s">
        <v>3</v>
      </c>
      <c r="B201">
        <v>53</v>
      </c>
      <c r="C201" s="1">
        <v>45203.5625</v>
      </c>
      <c r="D201" s="5">
        <v>4263.75</v>
      </c>
      <c r="E201" s="6">
        <f xml:space="preserve"> IFERROR(Price_Data[[#This Row],[Close Price]]-D200,0)</f>
        <v>5.560099999999693</v>
      </c>
      <c r="F201" s="4">
        <f>_xlfn.LET(_xlpm.current,Price_Data[[#This Row],[Close Price]],_xlpm.prev,Price_Data[[#This Row],[Close Price]]-Price_Data[[#This Row],[Price Change]],LOG(_xlpm.current/_xlpm.prev))</f>
        <v>5.6670690471939407E-4</v>
      </c>
    </row>
    <row r="202" spans="1:6" x14ac:dyDescent="0.25">
      <c r="A202" s="9" t="s">
        <v>3</v>
      </c>
      <c r="B202">
        <v>52</v>
      </c>
      <c r="C202" s="1">
        <v>45202.5625</v>
      </c>
      <c r="D202" s="5">
        <v>4229.4502000000002</v>
      </c>
      <c r="E202" s="6">
        <f xml:space="preserve"> IFERROR(Price_Data[[#This Row],[Close Price]]-D201,0)</f>
        <v>-34.299799999999777</v>
      </c>
      <c r="F202" s="4">
        <f>_xlfn.LET(_xlpm.current,Price_Data[[#This Row],[Close Price]],_xlpm.prev,Price_Data[[#This Row],[Close Price]]-Price_Data[[#This Row],[Price Change]],LOG(_xlpm.current/_xlpm.prev))</f>
        <v>-3.507816724821337E-3</v>
      </c>
    </row>
    <row r="203" spans="1:6" x14ac:dyDescent="0.25">
      <c r="A203" s="9" t="s">
        <v>3</v>
      </c>
      <c r="B203">
        <v>51</v>
      </c>
      <c r="C203" s="1">
        <v>45201.5625</v>
      </c>
      <c r="D203" s="5">
        <v>4288.3900999999996</v>
      </c>
      <c r="E203" s="6">
        <f xml:space="preserve"> IFERROR(Price_Data[[#This Row],[Close Price]]-D202,0)</f>
        <v>58.939899999999398</v>
      </c>
      <c r="F203" s="4">
        <f>_xlfn.LET(_xlpm.current,Price_Data[[#This Row],[Close Price]],_xlpm.prev,Price_Data[[#This Row],[Close Price]]-Price_Data[[#This Row],[Price Change]],LOG(_xlpm.current/_xlpm.prev))</f>
        <v>6.0103690564552899E-3</v>
      </c>
    </row>
    <row r="204" spans="1:6" x14ac:dyDescent="0.25">
      <c r="A204" s="9" t="s">
        <v>3</v>
      </c>
      <c r="B204">
        <v>50</v>
      </c>
      <c r="C204" s="1">
        <v>45198.5625</v>
      </c>
      <c r="D204" s="5">
        <v>4288.0497999999998</v>
      </c>
      <c r="E204" s="6">
        <f xml:space="preserve"> IFERROR(Price_Data[[#This Row],[Close Price]]-D203,0)</f>
        <v>-0.34029999999984284</v>
      </c>
      <c r="F204" s="4">
        <f>_xlfn.LET(_xlpm.current,Price_Data[[#This Row],[Close Price]],_xlpm.prev,Price_Data[[#This Row],[Close Price]]-Price_Data[[#This Row],[Price Change]],LOG(_xlpm.current/_xlpm.prev))</f>
        <v>-3.4464279815932659E-5</v>
      </c>
    </row>
    <row r="205" spans="1:6" x14ac:dyDescent="0.25">
      <c r="A205" s="9" t="s">
        <v>3</v>
      </c>
      <c r="B205">
        <v>49</v>
      </c>
      <c r="C205" s="1">
        <v>45197.5625</v>
      </c>
      <c r="D205" s="5">
        <v>4299.7002000000002</v>
      </c>
      <c r="E205" s="6">
        <f xml:space="preserve"> IFERROR(Price_Data[[#This Row],[Close Price]]-D204,0)</f>
        <v>11.650400000000445</v>
      </c>
      <c r="F205" s="4">
        <f>_xlfn.LET(_xlpm.current,Price_Data[[#This Row],[Close Price]],_xlpm.prev,Price_Data[[#This Row],[Close Price]]-Price_Data[[#This Row],[Price Change]],LOG(_xlpm.current/_xlpm.prev))</f>
        <v>1.1783546414381818E-3</v>
      </c>
    </row>
    <row r="206" spans="1:6" x14ac:dyDescent="0.25">
      <c r="A206" s="9" t="s">
        <v>3</v>
      </c>
      <c r="B206">
        <v>48</v>
      </c>
      <c r="C206" s="1">
        <v>45196.5625</v>
      </c>
      <c r="D206" s="5">
        <v>4274.5097999999998</v>
      </c>
      <c r="E206" s="6">
        <f xml:space="preserve"> IFERROR(Price_Data[[#This Row],[Close Price]]-D205,0)</f>
        <v>-25.190400000000409</v>
      </c>
      <c r="F206" s="4">
        <f>_xlfn.LET(_xlpm.current,Price_Data[[#This Row],[Close Price]],_xlpm.prev,Price_Data[[#This Row],[Close Price]]-Price_Data[[#This Row],[Price Change]],LOG(_xlpm.current/_xlpm.prev))</f>
        <v>-2.5518580004766844E-3</v>
      </c>
    </row>
    <row r="207" spans="1:6" x14ac:dyDescent="0.25">
      <c r="A207" s="9" t="s">
        <v>3</v>
      </c>
      <c r="B207">
        <v>47</v>
      </c>
      <c r="C207" s="1">
        <v>45195.5625</v>
      </c>
      <c r="D207" s="5">
        <v>4273.5298000000003</v>
      </c>
      <c r="E207" s="6">
        <f xml:space="preserve"> IFERROR(Price_Data[[#This Row],[Close Price]]-D206,0)</f>
        <v>-0.97999999999956344</v>
      </c>
      <c r="F207" s="4">
        <f>_xlfn.LET(_xlpm.current,Price_Data[[#This Row],[Close Price]],_xlpm.prev,Price_Data[[#This Row],[Close Price]]-Price_Data[[#This Row],[Price Change]],LOG(_xlpm.current/_xlpm.prev))</f>
        <v>-9.9580398324231704E-5</v>
      </c>
    </row>
    <row r="208" spans="1:6" x14ac:dyDescent="0.25">
      <c r="A208" s="9" t="s">
        <v>3</v>
      </c>
      <c r="B208">
        <v>46</v>
      </c>
      <c r="C208" s="1">
        <v>45194.5625</v>
      </c>
      <c r="D208" s="5">
        <v>4337.4399000000003</v>
      </c>
      <c r="E208" s="6">
        <f xml:space="preserve"> IFERROR(Price_Data[[#This Row],[Close Price]]-D207,0)</f>
        <v>63.910100000000057</v>
      </c>
      <c r="F208" s="4">
        <f>_xlfn.LET(_xlpm.current,Price_Data[[#This Row],[Close Price]],_xlpm.prev,Price_Data[[#This Row],[Close Price]]-Price_Data[[#This Row],[Price Change]],LOG(_xlpm.current/_xlpm.prev))</f>
        <v>6.4467335030405507E-3</v>
      </c>
    </row>
    <row r="209" spans="1:6" x14ac:dyDescent="0.25">
      <c r="A209" s="9" t="s">
        <v>3</v>
      </c>
      <c r="B209">
        <v>45</v>
      </c>
      <c r="C209" s="1">
        <v>45191.5625</v>
      </c>
      <c r="D209" s="5">
        <v>4320.0600999999997</v>
      </c>
      <c r="E209" s="6">
        <f xml:space="preserve"> IFERROR(Price_Data[[#This Row],[Close Price]]-D208,0)</f>
        <v>-17.379800000000614</v>
      </c>
      <c r="F209" s="4">
        <f>_xlfn.LET(_xlpm.current,Price_Data[[#This Row],[Close Price]],_xlpm.prev,Price_Data[[#This Row],[Close Price]]-Price_Data[[#This Row],[Price Change]],LOG(_xlpm.current/_xlpm.prev))</f>
        <v>-1.743681519147511E-3</v>
      </c>
    </row>
    <row r="210" spans="1:6" x14ac:dyDescent="0.25">
      <c r="A210" s="9" t="s">
        <v>3</v>
      </c>
      <c r="B210">
        <v>44</v>
      </c>
      <c r="C210" s="1">
        <v>45190.5625</v>
      </c>
      <c r="D210" s="5">
        <v>4330</v>
      </c>
      <c r="E210" s="6">
        <f xml:space="preserve"> IFERROR(Price_Data[[#This Row],[Close Price]]-D209,0)</f>
        <v>9.939900000000307</v>
      </c>
      <c r="F210" s="4">
        <f>_xlfn.LET(_xlpm.current,Price_Data[[#This Row],[Close Price]],_xlpm.prev,Price_Data[[#This Row],[Close Price]]-Price_Data[[#This Row],[Price Change]],LOG(_xlpm.current/_xlpm.prev))</f>
        <v>9.9810765956351733E-4</v>
      </c>
    </row>
    <row r="211" spans="1:6" x14ac:dyDescent="0.25">
      <c r="A211" s="9" t="s">
        <v>3</v>
      </c>
      <c r="B211">
        <v>43</v>
      </c>
      <c r="C211" s="1">
        <v>45189.5625</v>
      </c>
      <c r="D211" s="5">
        <v>4402.2002000000002</v>
      </c>
      <c r="E211" s="6">
        <f xml:space="preserve"> IFERROR(Price_Data[[#This Row],[Close Price]]-D210,0)</f>
        <v>72.200200000000223</v>
      </c>
      <c r="F211" s="4">
        <f>_xlfn.LET(_xlpm.current,Price_Data[[#This Row],[Close Price]],_xlpm.prev,Price_Data[[#This Row],[Close Price]]-Price_Data[[#This Row],[Price Change]],LOG(_xlpm.current/_xlpm.prev))</f>
        <v>7.1818928358446535E-3</v>
      </c>
    </row>
    <row r="212" spans="1:6" x14ac:dyDescent="0.25">
      <c r="A212" s="9" t="s">
        <v>3</v>
      </c>
      <c r="B212">
        <v>42</v>
      </c>
      <c r="C212" s="1">
        <v>45188.5625</v>
      </c>
      <c r="D212" s="5">
        <v>4443.9502000000002</v>
      </c>
      <c r="E212" s="6">
        <f xml:space="preserve"> IFERROR(Price_Data[[#This Row],[Close Price]]-D211,0)</f>
        <v>41.75</v>
      </c>
      <c r="F212" s="4">
        <f>_xlfn.LET(_xlpm.current,Price_Data[[#This Row],[Close Price]],_xlpm.prev,Price_Data[[#This Row],[Close Price]]-Price_Data[[#This Row],[Price Change]],LOG(_xlpm.current/_xlpm.prev))</f>
        <v>4.0993942960056472E-3</v>
      </c>
    </row>
    <row r="213" spans="1:6" x14ac:dyDescent="0.25">
      <c r="A213" s="9" t="s">
        <v>3</v>
      </c>
      <c r="B213">
        <v>41</v>
      </c>
      <c r="C213" s="1">
        <v>45187.5625</v>
      </c>
      <c r="D213" s="5">
        <v>4453.5298000000003</v>
      </c>
      <c r="E213" s="6">
        <f xml:space="preserve"> IFERROR(Price_Data[[#This Row],[Close Price]]-D212,0)</f>
        <v>9.5796000000000276</v>
      </c>
      <c r="F213" s="4">
        <f>_xlfn.LET(_xlpm.current,Price_Data[[#This Row],[Close Price]],_xlpm.prev,Price_Data[[#This Row],[Close Price]]-Price_Data[[#This Row],[Price Change]],LOG(_xlpm.current/_xlpm.prev))</f>
        <v>9.3517918026587066E-4</v>
      </c>
    </row>
    <row r="214" spans="1:6" x14ac:dyDescent="0.25">
      <c r="A214" s="9" t="s">
        <v>3</v>
      </c>
      <c r="B214">
        <v>40</v>
      </c>
      <c r="C214" s="1">
        <v>45184.5625</v>
      </c>
      <c r="D214" s="5">
        <v>4450.3198000000002</v>
      </c>
      <c r="E214" s="6">
        <f xml:space="preserve"> IFERROR(Price_Data[[#This Row],[Close Price]]-D213,0)</f>
        <v>-3.2100000000000364</v>
      </c>
      <c r="F214" s="4">
        <f>_xlfn.LET(_xlpm.current,Price_Data[[#This Row],[Close Price]],_xlpm.prev,Price_Data[[#This Row],[Close Price]]-Price_Data[[#This Row],[Price Change]],LOG(_xlpm.current/_xlpm.prev))</f>
        <v>-3.1314215983777434E-4</v>
      </c>
    </row>
    <row r="215" spans="1:6" x14ac:dyDescent="0.25">
      <c r="A215" s="9" t="s">
        <v>3</v>
      </c>
      <c r="B215">
        <v>39</v>
      </c>
      <c r="C215" s="1">
        <v>45183.5625</v>
      </c>
      <c r="D215" s="5">
        <v>4505.1000999999997</v>
      </c>
      <c r="E215" s="6">
        <f xml:space="preserve"> IFERROR(Price_Data[[#This Row],[Close Price]]-D214,0)</f>
        <v>54.780299999999443</v>
      </c>
      <c r="F215" s="4">
        <f>_xlfn.LET(_xlpm.current,Price_Data[[#This Row],[Close Price]],_xlpm.prev,Price_Data[[#This Row],[Close Price]]-Price_Data[[#This Row],[Price Change]],LOG(_xlpm.current/_xlpm.prev))</f>
        <v>5.3132246195749409E-3</v>
      </c>
    </row>
    <row r="216" spans="1:6" x14ac:dyDescent="0.25">
      <c r="A216" s="9" t="s">
        <v>3</v>
      </c>
      <c r="B216">
        <v>38</v>
      </c>
      <c r="C216" s="1">
        <v>45182.5625</v>
      </c>
      <c r="D216" s="5">
        <v>4467.4399000000003</v>
      </c>
      <c r="E216" s="6">
        <f xml:space="preserve"> IFERROR(Price_Data[[#This Row],[Close Price]]-D215,0)</f>
        <v>-37.66019999999935</v>
      </c>
      <c r="F216" s="4">
        <f>_xlfn.LET(_xlpm.current,Price_Data[[#This Row],[Close Price]],_xlpm.prev,Price_Data[[#This Row],[Close Price]]-Price_Data[[#This Row],[Price Change]],LOG(_xlpm.current/_xlpm.prev))</f>
        <v>-3.6457264263123385E-3</v>
      </c>
    </row>
    <row r="217" spans="1:6" x14ac:dyDescent="0.25">
      <c r="A217" s="9" t="s">
        <v>3</v>
      </c>
      <c r="B217">
        <v>37</v>
      </c>
      <c r="C217" s="1">
        <v>45181.5625</v>
      </c>
      <c r="D217" s="5">
        <v>4461.8999000000003</v>
      </c>
      <c r="E217" s="6">
        <f xml:space="preserve"> IFERROR(Price_Data[[#This Row],[Close Price]]-D216,0)</f>
        <v>-5.5399999999999636</v>
      </c>
      <c r="F217" s="4">
        <f>_xlfn.LET(_xlpm.current,Price_Data[[#This Row],[Close Price]],_xlpm.prev,Price_Data[[#This Row],[Close Price]]-Price_Data[[#This Row],[Price Change]],LOG(_xlpm.current/_xlpm.prev))</f>
        <v>-5.3889577333726202E-4</v>
      </c>
    </row>
    <row r="218" spans="1:6" x14ac:dyDescent="0.25">
      <c r="A218" s="9" t="s">
        <v>3</v>
      </c>
      <c r="B218">
        <v>36</v>
      </c>
      <c r="C218" s="1">
        <v>45180.5625</v>
      </c>
      <c r="D218" s="5">
        <v>4487.46</v>
      </c>
      <c r="E218" s="6">
        <f xml:space="preserve"> IFERROR(Price_Data[[#This Row],[Close Price]]-D217,0)</f>
        <v>25.560099999999693</v>
      </c>
      <c r="F218" s="4">
        <f>_xlfn.LET(_xlpm.current,Price_Data[[#This Row],[Close Price]],_xlpm.prev,Price_Data[[#This Row],[Close Price]]-Price_Data[[#This Row],[Price Change]],LOG(_xlpm.current/_xlpm.prev))</f>
        <v>2.4807674949680466E-3</v>
      </c>
    </row>
    <row r="219" spans="1:6" x14ac:dyDescent="0.25">
      <c r="A219" s="9" t="s">
        <v>3</v>
      </c>
      <c r="B219">
        <v>35</v>
      </c>
      <c r="C219" s="1">
        <v>45177.5625</v>
      </c>
      <c r="D219" s="5">
        <v>4457.4902000000002</v>
      </c>
      <c r="E219" s="6">
        <f xml:space="preserve"> IFERROR(Price_Data[[#This Row],[Close Price]]-D218,0)</f>
        <v>-29.96979999999985</v>
      </c>
      <c r="F219" s="4">
        <f>_xlfn.LET(_xlpm.current,Price_Data[[#This Row],[Close Price]],_xlpm.prev,Price_Data[[#This Row],[Close Price]]-Price_Data[[#This Row],[Price Change]],LOG(_xlpm.current/_xlpm.prev))</f>
        <v>-2.910193388759399E-3</v>
      </c>
    </row>
    <row r="220" spans="1:6" x14ac:dyDescent="0.25">
      <c r="A220" s="9" t="s">
        <v>3</v>
      </c>
      <c r="B220">
        <v>34</v>
      </c>
      <c r="C220" s="1">
        <v>45176.5625</v>
      </c>
      <c r="D220" s="5">
        <v>4451.1400999999996</v>
      </c>
      <c r="E220" s="6">
        <f xml:space="preserve"> IFERROR(Price_Data[[#This Row],[Close Price]]-D219,0)</f>
        <v>-6.3501000000005661</v>
      </c>
      <c r="F220" s="4">
        <f>_xlfn.LET(_xlpm.current,Price_Data[[#This Row],[Close Price]],_xlpm.prev,Price_Data[[#This Row],[Close Price]]-Price_Data[[#This Row],[Price Change]],LOG(_xlpm.current/_xlpm.prev))</f>
        <v>-6.1913307966212955E-4</v>
      </c>
    </row>
    <row r="221" spans="1:6" x14ac:dyDescent="0.25">
      <c r="A221" s="9" t="s">
        <v>3</v>
      </c>
      <c r="B221">
        <v>33</v>
      </c>
      <c r="C221" s="1">
        <v>45175.5625</v>
      </c>
      <c r="D221" s="5">
        <v>4465.4799999999996</v>
      </c>
      <c r="E221" s="6">
        <f xml:space="preserve"> IFERROR(Price_Data[[#This Row],[Close Price]]-D220,0)</f>
        <v>14.339899999999943</v>
      </c>
      <c r="F221" s="4">
        <f>_xlfn.LET(_xlpm.current,Price_Data[[#This Row],[Close Price]],_xlpm.prev,Price_Data[[#This Row],[Close Price]]-Price_Data[[#This Row],[Price Change]],LOG(_xlpm.current/_xlpm.prev))</f>
        <v>1.3968846357254976E-3</v>
      </c>
    </row>
    <row r="222" spans="1:6" x14ac:dyDescent="0.25">
      <c r="A222" s="9" t="s">
        <v>3</v>
      </c>
      <c r="B222">
        <v>32</v>
      </c>
      <c r="C222" s="1">
        <v>45174.5625</v>
      </c>
      <c r="D222" s="5">
        <v>4496.8301000000001</v>
      </c>
      <c r="E222" s="6">
        <f xml:space="preserve"> IFERROR(Price_Data[[#This Row],[Close Price]]-D221,0)</f>
        <v>31.350100000000566</v>
      </c>
      <c r="F222" s="4">
        <f>_xlfn.LET(_xlpm.current,Price_Data[[#This Row],[Close Price]],_xlpm.prev,Price_Data[[#This Row],[Close Price]]-Price_Data[[#This Row],[Price Change]],LOG(_xlpm.current/_xlpm.prev))</f>
        <v>3.038330702055976E-3</v>
      </c>
    </row>
    <row r="223" spans="1:6" x14ac:dyDescent="0.25">
      <c r="A223" s="9" t="s">
        <v>3</v>
      </c>
      <c r="B223">
        <v>31</v>
      </c>
      <c r="C223" s="1">
        <v>45170.5625</v>
      </c>
      <c r="D223" s="5">
        <v>4515.7700000000004</v>
      </c>
      <c r="E223" s="6">
        <f xml:space="preserve"> IFERROR(Price_Data[[#This Row],[Close Price]]-D222,0)</f>
        <v>18.939900000000307</v>
      </c>
      <c r="F223" s="4">
        <f>_xlfn.LET(_xlpm.current,Price_Data[[#This Row],[Close Price]],_xlpm.prev,Price_Data[[#This Row],[Close Price]]-Price_Data[[#This Row],[Price Change]],LOG(_xlpm.current/_xlpm.prev))</f>
        <v>1.8253347702593581E-3</v>
      </c>
    </row>
    <row r="224" spans="1:6" x14ac:dyDescent="0.25">
      <c r="A224" s="9" t="s">
        <v>3</v>
      </c>
      <c r="B224">
        <v>30</v>
      </c>
      <c r="C224" s="1">
        <v>45169.5625</v>
      </c>
      <c r="D224" s="5">
        <v>4507.6602000000003</v>
      </c>
      <c r="E224" s="6">
        <f xml:space="preserve"> IFERROR(Price_Data[[#This Row],[Close Price]]-D223,0)</f>
        <v>-8.1098000000001775</v>
      </c>
      <c r="F224" s="4">
        <f>_xlfn.LET(_xlpm.current,Price_Data[[#This Row],[Close Price]],_xlpm.prev,Price_Data[[#This Row],[Close Price]]-Price_Data[[#This Row],[Price Change]],LOG(_xlpm.current/_xlpm.prev))</f>
        <v>-7.8064378170711812E-4</v>
      </c>
    </row>
    <row r="225" spans="1:6" x14ac:dyDescent="0.25">
      <c r="A225" s="9" t="s">
        <v>3</v>
      </c>
      <c r="B225">
        <v>29</v>
      </c>
      <c r="C225" s="1">
        <v>45168.5625</v>
      </c>
      <c r="D225" s="5">
        <v>4514.8701000000001</v>
      </c>
      <c r="E225" s="6">
        <f xml:space="preserve"> IFERROR(Price_Data[[#This Row],[Close Price]]-D224,0)</f>
        <v>7.2098999999998341</v>
      </c>
      <c r="F225" s="4">
        <f>_xlfn.LET(_xlpm.current,Price_Data[[#This Row],[Close Price]],_xlpm.prev,Price_Data[[#This Row],[Close Price]]-Price_Data[[#This Row],[Price Change]],LOG(_xlpm.current/_xlpm.prev))</f>
        <v>6.9408920722935287E-4</v>
      </c>
    </row>
    <row r="226" spans="1:6" x14ac:dyDescent="0.25">
      <c r="A226" s="9" t="s">
        <v>3</v>
      </c>
      <c r="B226">
        <v>28</v>
      </c>
      <c r="C226" s="1">
        <v>45167.5625</v>
      </c>
      <c r="D226" s="5">
        <v>4497.6298999999999</v>
      </c>
      <c r="E226" s="6">
        <f xml:space="preserve"> IFERROR(Price_Data[[#This Row],[Close Price]]-D225,0)</f>
        <v>-17.240200000000186</v>
      </c>
      <c r="F226" s="4">
        <f>_xlfn.LET(_xlpm.current,Price_Data[[#This Row],[Close Price]],_xlpm.prev,Price_Data[[#This Row],[Close Price]]-Price_Data[[#This Row],[Price Change]],LOG(_xlpm.current/_xlpm.prev))</f>
        <v>-1.6615440465204902E-3</v>
      </c>
    </row>
    <row r="227" spans="1:6" x14ac:dyDescent="0.25">
      <c r="A227" s="9" t="s">
        <v>3</v>
      </c>
      <c r="B227">
        <v>27</v>
      </c>
      <c r="C227" s="1">
        <v>45166.5625</v>
      </c>
      <c r="D227" s="5">
        <v>4433.3100999999997</v>
      </c>
      <c r="E227" s="6">
        <f xml:space="preserve"> IFERROR(Price_Data[[#This Row],[Close Price]]-D226,0)</f>
        <v>-64.319800000000214</v>
      </c>
      <c r="F227" s="4">
        <f>_xlfn.LET(_xlpm.current,Price_Data[[#This Row],[Close Price]],_xlpm.prev,Price_Data[[#This Row],[Close Price]]-Price_Data[[#This Row],[Price Change]],LOG(_xlpm.current/_xlpm.prev))</f>
        <v>-6.2556051620135918E-3</v>
      </c>
    </row>
    <row r="228" spans="1:6" x14ac:dyDescent="0.25">
      <c r="A228" s="9" t="s">
        <v>3</v>
      </c>
      <c r="B228">
        <v>26</v>
      </c>
      <c r="C228" s="1">
        <v>45163.5625</v>
      </c>
      <c r="D228" s="5">
        <v>4405.71</v>
      </c>
      <c r="E228" s="6">
        <f xml:space="preserve"> IFERROR(Price_Data[[#This Row],[Close Price]]-D227,0)</f>
        <v>-27.600099999999657</v>
      </c>
      <c r="F228" s="4">
        <f>_xlfn.LET(_xlpm.current,Price_Data[[#This Row],[Close Price]],_xlpm.prev,Price_Data[[#This Row],[Close Price]]-Price_Data[[#This Row],[Price Change]],LOG(_xlpm.current/_xlpm.prev))</f>
        <v>-2.7122033781369292E-3</v>
      </c>
    </row>
    <row r="229" spans="1:6" x14ac:dyDescent="0.25">
      <c r="A229" s="9" t="s">
        <v>3</v>
      </c>
      <c r="B229">
        <v>25</v>
      </c>
      <c r="C229" s="1">
        <v>45162.5625</v>
      </c>
      <c r="D229" s="5">
        <v>4376.3100999999997</v>
      </c>
      <c r="E229" s="6">
        <f xml:space="preserve"> IFERROR(Price_Data[[#This Row],[Close Price]]-D228,0)</f>
        <v>-29.399900000000343</v>
      </c>
      <c r="F229" s="4">
        <f>_xlfn.LET(_xlpm.current,Price_Data[[#This Row],[Close Price]],_xlpm.prev,Price_Data[[#This Row],[Close Price]]-Price_Data[[#This Row],[Price Change]],LOG(_xlpm.current/_xlpm.prev))</f>
        <v>-2.9078189056072814E-3</v>
      </c>
    </row>
    <row r="230" spans="1:6" x14ac:dyDescent="0.25">
      <c r="A230" s="9" t="s">
        <v>3</v>
      </c>
      <c r="B230">
        <v>24</v>
      </c>
      <c r="C230" s="1">
        <v>45161.5625</v>
      </c>
      <c r="D230" s="5">
        <v>4436.0097999999998</v>
      </c>
      <c r="E230" s="6">
        <f xml:space="preserve"> IFERROR(Price_Data[[#This Row],[Close Price]]-D229,0)</f>
        <v>59.699700000000121</v>
      </c>
      <c r="F230" s="4">
        <f>_xlfn.LET(_xlpm.current,Price_Data[[#This Row],[Close Price]],_xlpm.prev,Price_Data[[#This Row],[Close Price]]-Price_Data[[#This Row],[Price Change]],LOG(_xlpm.current/_xlpm.prev))</f>
        <v>5.8844089249350997E-3</v>
      </c>
    </row>
    <row r="231" spans="1:6" x14ac:dyDescent="0.25">
      <c r="A231" s="9" t="s">
        <v>3</v>
      </c>
      <c r="B231">
        <v>23</v>
      </c>
      <c r="C231" s="1">
        <v>45160.5625</v>
      </c>
      <c r="D231" s="5">
        <v>4387.5497999999998</v>
      </c>
      <c r="E231" s="6">
        <f xml:space="preserve"> IFERROR(Price_Data[[#This Row],[Close Price]]-D230,0)</f>
        <v>-48.460000000000036</v>
      </c>
      <c r="F231" s="4">
        <f>_xlfn.LET(_xlpm.current,Price_Data[[#This Row],[Close Price]],_xlpm.prev,Price_Data[[#This Row],[Close Price]]-Price_Data[[#This Row],[Price Change]],LOG(_xlpm.current/_xlpm.prev))</f>
        <v>-4.7704380444648815E-3</v>
      </c>
    </row>
    <row r="232" spans="1:6" x14ac:dyDescent="0.25">
      <c r="A232" s="9" t="s">
        <v>3</v>
      </c>
      <c r="B232">
        <v>22</v>
      </c>
      <c r="C232" s="1">
        <v>45159.5625</v>
      </c>
      <c r="D232" s="5">
        <v>4399.7700000000004</v>
      </c>
      <c r="E232" s="6">
        <f xml:space="preserve"> IFERROR(Price_Data[[#This Row],[Close Price]]-D231,0)</f>
        <v>12.220200000000659</v>
      </c>
      <c r="F232" s="4">
        <f>_xlfn.LET(_xlpm.current,Price_Data[[#This Row],[Close Price]],_xlpm.prev,Price_Data[[#This Row],[Close Price]]-Price_Data[[#This Row],[Price Change]],LOG(_xlpm.current/_xlpm.prev))</f>
        <v>1.2079152619461381E-3</v>
      </c>
    </row>
    <row r="233" spans="1:6" x14ac:dyDescent="0.25">
      <c r="A233" s="9" t="s">
        <v>3</v>
      </c>
      <c r="B233">
        <v>21</v>
      </c>
      <c r="C233" s="1">
        <v>45156.5625</v>
      </c>
      <c r="D233" s="5">
        <v>4369.71</v>
      </c>
      <c r="E233" s="6">
        <f xml:space="preserve"> IFERROR(Price_Data[[#This Row],[Close Price]]-D232,0)</f>
        <v>-30.0600000000004</v>
      </c>
      <c r="F233" s="4">
        <f>_xlfn.LET(_xlpm.current,Price_Data[[#This Row],[Close Price]],_xlpm.prev,Price_Data[[#This Row],[Close Price]]-Price_Data[[#This Row],[Price Change]],LOG(_xlpm.current/_xlpm.prev))</f>
        <v>-2.9773585793316771E-3</v>
      </c>
    </row>
    <row r="234" spans="1:6" x14ac:dyDescent="0.25">
      <c r="A234" s="9" t="s">
        <v>3</v>
      </c>
      <c r="B234">
        <v>20</v>
      </c>
      <c r="C234" s="1">
        <v>45155.5625</v>
      </c>
      <c r="D234" s="5">
        <v>4370.3599000000004</v>
      </c>
      <c r="E234" s="6">
        <f xml:space="preserve"> IFERROR(Price_Data[[#This Row],[Close Price]]-D233,0)</f>
        <v>0.64990000000034343</v>
      </c>
      <c r="F234" s="4">
        <f>_xlfn.LET(_xlpm.current,Price_Data[[#This Row],[Close Price]],_xlpm.prev,Price_Data[[#This Row],[Close Price]]-Price_Data[[#This Row],[Price Change]],LOG(_xlpm.current/_xlpm.prev))</f>
        <v>6.4587122880880327E-5</v>
      </c>
    </row>
    <row r="235" spans="1:6" x14ac:dyDescent="0.25">
      <c r="A235" s="9" t="s">
        <v>3</v>
      </c>
      <c r="B235">
        <v>19</v>
      </c>
      <c r="C235" s="1">
        <v>45154.5625</v>
      </c>
      <c r="D235" s="5">
        <v>4404.3301000000001</v>
      </c>
      <c r="E235" s="6">
        <f xml:space="preserve"> IFERROR(Price_Data[[#This Row],[Close Price]]-D234,0)</f>
        <v>33.97019999999975</v>
      </c>
      <c r="F235" s="4">
        <f>_xlfn.LET(_xlpm.current,Price_Data[[#This Row],[Close Price]],_xlpm.prev,Price_Data[[#This Row],[Close Price]]-Price_Data[[#This Row],[Price Change]],LOG(_xlpm.current/_xlpm.prev))</f>
        <v>3.3626587638488276E-3</v>
      </c>
    </row>
    <row r="236" spans="1:6" x14ac:dyDescent="0.25">
      <c r="A236" s="9" t="s">
        <v>3</v>
      </c>
      <c r="B236">
        <v>18</v>
      </c>
      <c r="C236" s="1">
        <v>45153.5625</v>
      </c>
      <c r="D236" s="5">
        <v>4437.8599000000004</v>
      </c>
      <c r="E236" s="6">
        <f xml:space="preserve"> IFERROR(Price_Data[[#This Row],[Close Price]]-D235,0)</f>
        <v>33.52980000000025</v>
      </c>
      <c r="F236" s="4">
        <f>_xlfn.LET(_xlpm.current,Price_Data[[#This Row],[Close Price]],_xlpm.prev,Price_Data[[#This Row],[Close Price]]-Price_Data[[#This Row],[Price Change]],LOG(_xlpm.current/_xlpm.prev))</f>
        <v>3.2937263091704938E-3</v>
      </c>
    </row>
    <row r="237" spans="1:6" x14ac:dyDescent="0.25">
      <c r="A237" s="9" t="s">
        <v>3</v>
      </c>
      <c r="B237">
        <v>17</v>
      </c>
      <c r="C237" s="1">
        <v>45152.5625</v>
      </c>
      <c r="D237" s="5">
        <v>4489.7201999999997</v>
      </c>
      <c r="E237" s="6">
        <f xml:space="preserve"> IFERROR(Price_Data[[#This Row],[Close Price]]-D236,0)</f>
        <v>51.86029999999937</v>
      </c>
      <c r="F237" s="4">
        <f>_xlfn.LET(_xlpm.current,Price_Data[[#This Row],[Close Price]],_xlpm.prev,Price_Data[[#This Row],[Close Price]]-Price_Data[[#This Row],[Price Change]],LOG(_xlpm.current/_xlpm.prev))</f>
        <v>5.0456888005163047E-3</v>
      </c>
    </row>
    <row r="238" spans="1:6" x14ac:dyDescent="0.25">
      <c r="A238" s="9" t="s">
        <v>3</v>
      </c>
      <c r="B238">
        <v>16</v>
      </c>
      <c r="C238" s="1">
        <v>45149.5625</v>
      </c>
      <c r="D238" s="5">
        <v>4464.0497999999998</v>
      </c>
      <c r="E238" s="6">
        <f xml:space="preserve"> IFERROR(Price_Data[[#This Row],[Close Price]]-D237,0)</f>
        <v>-25.670399999999972</v>
      </c>
      <c r="F238" s="4">
        <f>_xlfn.LET(_xlpm.current,Price_Data[[#This Row],[Close Price]],_xlpm.prev,Price_Data[[#This Row],[Close Price]]-Price_Data[[#This Row],[Price Change]],LOG(_xlpm.current/_xlpm.prev))</f>
        <v>-2.4902456985226203E-3</v>
      </c>
    </row>
    <row r="239" spans="1:6" x14ac:dyDescent="0.25">
      <c r="A239" s="9" t="s">
        <v>3</v>
      </c>
      <c r="B239">
        <v>15</v>
      </c>
      <c r="C239" s="1">
        <v>45148.5625</v>
      </c>
      <c r="D239" s="5">
        <v>4468.8301000000001</v>
      </c>
      <c r="E239" s="6">
        <f xml:space="preserve"> IFERROR(Price_Data[[#This Row],[Close Price]]-D238,0)</f>
        <v>4.7803000000003522</v>
      </c>
      <c r="F239" s="4">
        <f>_xlfn.LET(_xlpm.current,Price_Data[[#This Row],[Close Price]],_xlpm.prev,Price_Data[[#This Row],[Close Price]]-Price_Data[[#This Row],[Price Change]],LOG(_xlpm.current/_xlpm.prev))</f>
        <v>4.64812721822363E-4</v>
      </c>
    </row>
    <row r="240" spans="1:6" x14ac:dyDescent="0.25">
      <c r="A240" s="9" t="s">
        <v>3</v>
      </c>
      <c r="B240">
        <v>14</v>
      </c>
      <c r="C240" s="1">
        <v>45147.5625</v>
      </c>
      <c r="D240" s="5">
        <v>4467.71</v>
      </c>
      <c r="E240" s="6">
        <f xml:space="preserve"> IFERROR(Price_Data[[#This Row],[Close Price]]-D239,0)</f>
        <v>-1.1201000000000931</v>
      </c>
      <c r="F240" s="4">
        <f>_xlfn.LET(_xlpm.current,Price_Data[[#This Row],[Close Price]],_xlpm.prev,Price_Data[[#This Row],[Close Price]]-Price_Data[[#This Row],[Price Change]],LOG(_xlpm.current/_xlpm.prev))</f>
        <v>-1.0886836432977113E-4</v>
      </c>
    </row>
    <row r="241" spans="1:6" x14ac:dyDescent="0.25">
      <c r="A241" s="9" t="s">
        <v>3</v>
      </c>
      <c r="B241">
        <v>13</v>
      </c>
      <c r="C241" s="1">
        <v>45146.5625</v>
      </c>
      <c r="D241" s="5">
        <v>4499.3798999999999</v>
      </c>
      <c r="E241" s="6">
        <f xml:space="preserve"> IFERROR(Price_Data[[#This Row],[Close Price]]-D240,0)</f>
        <v>31.66989999999987</v>
      </c>
      <c r="F241" s="4">
        <f>_xlfn.LET(_xlpm.current,Price_Data[[#This Row],[Close Price]],_xlpm.prev,Price_Data[[#This Row],[Close Price]]-Price_Data[[#This Row],[Price Change]],LOG(_xlpm.current/_xlpm.prev))</f>
        <v>3.0676886601126788E-3</v>
      </c>
    </row>
    <row r="242" spans="1:6" x14ac:dyDescent="0.25">
      <c r="A242" s="9" t="s">
        <v>3</v>
      </c>
      <c r="B242">
        <v>12</v>
      </c>
      <c r="C242" s="1">
        <v>45145.5625</v>
      </c>
      <c r="D242" s="5">
        <v>4518.4399000000003</v>
      </c>
      <c r="E242" s="6">
        <f xml:space="preserve"> IFERROR(Price_Data[[#This Row],[Close Price]]-D241,0)</f>
        <v>19.0600000000004</v>
      </c>
      <c r="F242" s="4">
        <f>_xlfn.LET(_xlpm.current,Price_Data[[#This Row],[Close Price]],_xlpm.prev,Price_Data[[#This Row],[Close Price]]-Price_Data[[#This Row],[Price Change]],LOG(_xlpm.current/_xlpm.prev))</f>
        <v>1.8358462100324922E-3</v>
      </c>
    </row>
    <row r="243" spans="1:6" x14ac:dyDescent="0.25">
      <c r="A243" s="9" t="s">
        <v>3</v>
      </c>
      <c r="B243">
        <v>11</v>
      </c>
      <c r="C243" s="1">
        <v>45142.5625</v>
      </c>
      <c r="D243" s="5">
        <v>4478.0298000000003</v>
      </c>
      <c r="E243" s="6">
        <f xml:space="preserve"> IFERROR(Price_Data[[#This Row],[Close Price]]-D242,0)</f>
        <v>-40.410100000000057</v>
      </c>
      <c r="F243" s="4">
        <f>_xlfn.LET(_xlpm.current,Price_Data[[#This Row],[Close Price]],_xlpm.prev,Price_Data[[#This Row],[Close Price]]-Price_Data[[#This Row],[Price Change]],LOG(_xlpm.current/_xlpm.prev))</f>
        <v>-3.901530724557358E-3</v>
      </c>
    </row>
    <row r="244" spans="1:6" x14ac:dyDescent="0.25">
      <c r="A244" s="9" t="s">
        <v>3</v>
      </c>
      <c r="B244">
        <v>10</v>
      </c>
      <c r="C244" s="1">
        <v>45141.5625</v>
      </c>
      <c r="D244" s="5">
        <v>4501.8900999999996</v>
      </c>
      <c r="E244" s="6">
        <f xml:space="preserve"> IFERROR(Price_Data[[#This Row],[Close Price]]-D243,0)</f>
        <v>23.86029999999937</v>
      </c>
      <c r="F244" s="4">
        <f>_xlfn.LET(_xlpm.current,Price_Data[[#This Row],[Close Price]],_xlpm.prev,Price_Data[[#This Row],[Close Price]]-Price_Data[[#This Row],[Price Change]],LOG(_xlpm.current/_xlpm.prev))</f>
        <v>2.3079094531689055E-3</v>
      </c>
    </row>
    <row r="245" spans="1:6" x14ac:dyDescent="0.25">
      <c r="A245" s="9" t="s">
        <v>3</v>
      </c>
      <c r="B245">
        <v>9</v>
      </c>
      <c r="C245" s="1">
        <v>45140.5625</v>
      </c>
      <c r="D245" s="5">
        <v>4513.3900999999996</v>
      </c>
      <c r="E245" s="6">
        <f xml:space="preserve"> IFERROR(Price_Data[[#This Row],[Close Price]]-D244,0)</f>
        <v>11.5</v>
      </c>
      <c r="F245" s="4">
        <f>_xlfn.LET(_xlpm.current,Price_Data[[#This Row],[Close Price]],_xlpm.prev,Price_Data[[#This Row],[Close Price]]-Price_Data[[#This Row],[Price Change]],LOG(_xlpm.current/_xlpm.prev))</f>
        <v>1.1079831441783215E-3</v>
      </c>
    </row>
    <row r="246" spans="1:6" x14ac:dyDescent="0.25">
      <c r="A246" s="9" t="s">
        <v>3</v>
      </c>
      <c r="B246">
        <v>8</v>
      </c>
      <c r="C246" s="1">
        <v>45139.5625</v>
      </c>
      <c r="D246" s="5">
        <v>4576.7299999999996</v>
      </c>
      <c r="E246" s="6">
        <f xml:space="preserve"> IFERROR(Price_Data[[#This Row],[Close Price]]-D245,0)</f>
        <v>63.339899999999943</v>
      </c>
      <c r="F246" s="4">
        <f>_xlfn.LET(_xlpm.current,Price_Data[[#This Row],[Close Price]],_xlpm.prev,Price_Data[[#This Row],[Close Price]]-Price_Data[[#This Row],[Price Change]],LOG(_xlpm.current/_xlpm.prev))</f>
        <v>6.0524204224918767E-3</v>
      </c>
    </row>
    <row r="247" spans="1:6" x14ac:dyDescent="0.25">
      <c r="A247" s="9" t="s">
        <v>3</v>
      </c>
      <c r="B247">
        <v>7</v>
      </c>
      <c r="C247" s="1">
        <v>45138.5625</v>
      </c>
      <c r="D247" s="5">
        <v>4588.96</v>
      </c>
      <c r="E247" s="6">
        <f xml:space="preserve"> IFERROR(Price_Data[[#This Row],[Close Price]]-D246,0)</f>
        <v>12.230000000000473</v>
      </c>
      <c r="F247" s="4">
        <f>_xlfn.LET(_xlpm.current,Price_Data[[#This Row],[Close Price]],_xlpm.prev,Price_Data[[#This Row],[Close Price]]-Price_Data[[#This Row],[Price Change]],LOG(_xlpm.current/_xlpm.prev))</f>
        <v>1.1589797747617917E-3</v>
      </c>
    </row>
    <row r="248" spans="1:6" x14ac:dyDescent="0.25">
      <c r="A248" s="9" t="s">
        <v>3</v>
      </c>
      <c r="B248">
        <v>6</v>
      </c>
      <c r="C248" s="1">
        <v>45135.5625</v>
      </c>
      <c r="D248" s="5">
        <v>4582.2299999999996</v>
      </c>
      <c r="E248" s="6">
        <f xml:space="preserve"> IFERROR(Price_Data[[#This Row],[Close Price]]-D247,0)</f>
        <v>-6.7300000000004729</v>
      </c>
      <c r="F248" s="4">
        <f>_xlfn.LET(_xlpm.current,Price_Data[[#This Row],[Close Price]],_xlpm.prev,Price_Data[[#This Row],[Close Price]]-Price_Data[[#This Row],[Price Change]],LOG(_xlpm.current/_xlpm.prev))</f>
        <v>-6.3738781725029337E-4</v>
      </c>
    </row>
    <row r="249" spans="1:6" x14ac:dyDescent="0.25">
      <c r="A249" s="9" t="s">
        <v>3</v>
      </c>
      <c r="B249">
        <v>5</v>
      </c>
      <c r="C249" s="1">
        <v>45134.5625</v>
      </c>
      <c r="D249" s="5">
        <v>4537.4102000000003</v>
      </c>
      <c r="E249" s="6">
        <f xml:space="preserve"> IFERROR(Price_Data[[#This Row],[Close Price]]-D248,0)</f>
        <v>-44.819799999999304</v>
      </c>
      <c r="F249" s="4">
        <f>_xlfn.LET(_xlpm.current,Price_Data[[#This Row],[Close Price]],_xlpm.prev,Price_Data[[#This Row],[Close Price]]-Price_Data[[#This Row],[Price Change]],LOG(_xlpm.current/_xlpm.prev))</f>
        <v>-4.2688413386617035E-3</v>
      </c>
    </row>
    <row r="250" spans="1:6" x14ac:dyDescent="0.25">
      <c r="A250" s="9" t="s">
        <v>3</v>
      </c>
      <c r="B250">
        <v>4</v>
      </c>
      <c r="C250" s="1">
        <v>45133.5625</v>
      </c>
      <c r="D250" s="5">
        <v>4566.75</v>
      </c>
      <c r="E250" s="6">
        <f xml:space="preserve"> IFERROR(Price_Data[[#This Row],[Close Price]]-D249,0)</f>
        <v>29.339799999999741</v>
      </c>
      <c r="F250" s="4">
        <f>_xlfn.LET(_xlpm.current,Price_Data[[#This Row],[Close Price]],_xlpm.prev,Price_Data[[#This Row],[Close Price]]-Price_Data[[#This Row],[Price Change]],LOG(_xlpm.current/_xlpm.prev))</f>
        <v>2.7991944500743342E-3</v>
      </c>
    </row>
    <row r="251" spans="1:6" x14ac:dyDescent="0.25">
      <c r="A251" s="9" t="s">
        <v>3</v>
      </c>
      <c r="B251">
        <v>3</v>
      </c>
      <c r="C251" s="1">
        <v>45132.5625</v>
      </c>
      <c r="D251" s="5">
        <v>4567.46</v>
      </c>
      <c r="E251" s="6">
        <f xml:space="preserve"> IFERROR(Price_Data[[#This Row],[Close Price]]-D250,0)</f>
        <v>0.71000000000003638</v>
      </c>
      <c r="F251" s="4">
        <f>_xlfn.LET(_xlpm.current,Price_Data[[#This Row],[Close Price]],_xlpm.prev,Price_Data[[#This Row],[Close Price]]-Price_Data[[#This Row],[Price Change]],LOG(_xlpm.current/_xlpm.prev))</f>
        <v>6.7515216482279294E-5</v>
      </c>
    </row>
    <row r="252" spans="1:6" x14ac:dyDescent="0.25">
      <c r="A252" s="9" t="s">
        <v>3</v>
      </c>
      <c r="B252">
        <v>2</v>
      </c>
      <c r="C252" s="1">
        <v>45131.5625</v>
      </c>
      <c r="D252" s="5">
        <v>4554.6400999999996</v>
      </c>
      <c r="E252" s="6">
        <f xml:space="preserve"> IFERROR(Price_Data[[#This Row],[Close Price]]-D251,0)</f>
        <v>-12.819900000000416</v>
      </c>
      <c r="F252" s="4">
        <f>_xlfn.LET(_xlpm.current,Price_Data[[#This Row],[Close Price]],_xlpm.prev,Price_Data[[#This Row],[Close Price]]-Price_Data[[#This Row],[Price Change]],LOG(_xlpm.current/_xlpm.prev))</f>
        <v>-1.2206872174108472E-3</v>
      </c>
    </row>
    <row r="253" spans="1:6" x14ac:dyDescent="0.25">
      <c r="A253" s="9" t="s">
        <v>3</v>
      </c>
      <c r="B253">
        <v>1</v>
      </c>
      <c r="C253" s="1">
        <v>45128.5625</v>
      </c>
      <c r="D253" s="5">
        <v>4536.3397999999997</v>
      </c>
      <c r="E253" s="6">
        <f xml:space="preserve"> IFERROR(Price_Data[[#This Row],[Close Price]]-D252,0)</f>
        <v>-18.300299999999879</v>
      </c>
      <c r="F253" s="4">
        <f>_xlfn.LET(_xlpm.current,Price_Data[[#This Row],[Close Price]],_xlpm.prev,Price_Data[[#This Row],[Close Price]]-Price_Data[[#This Row],[Price Change]],LOG(_xlpm.current/_xlpm.prev))</f>
        <v>-1.748486990396283E-3</v>
      </c>
    </row>
    <row r="254" spans="1:6" x14ac:dyDescent="0.25">
      <c r="A254" s="9" t="s">
        <v>3</v>
      </c>
      <c r="B254">
        <v>0</v>
      </c>
      <c r="C254" s="1">
        <v>45127.5625</v>
      </c>
      <c r="D254" s="5">
        <v>4534.8701000000001</v>
      </c>
      <c r="E254" s="6">
        <f xml:space="preserve"> IFERROR(Price_Data[[#This Row],[Close Price]]-D253,0)</f>
        <v>-1.4696999999996478</v>
      </c>
      <c r="F254" s="4">
        <f>_xlfn.LET(_xlpm.current,Price_Data[[#This Row],[Close Price]],_xlpm.prev,Price_Data[[#This Row],[Close Price]]-Price_Data[[#This Row],[Price Change]],LOG(_xlpm.current/_xlpm.prev))</f>
        <v>-1.4072711637685891E-4</v>
      </c>
    </row>
  </sheetData>
  <scenarios current="0" show="0">
    <scenario name="Simulate Monte Carlo" locked="1" count="1" user="Alexander Jefferies" comment="Created by Alexander Jefferies on 20/07/2024">
      <inputCells r="L7" val="0.5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onteCarloSimulation">
                <anchor moveWithCells="1" sizeWithCells="1">
                  <from>
                    <xdr:col>12</xdr:col>
                    <xdr:colOff>66675</xdr:colOff>
                    <xdr:row>1</xdr:row>
                    <xdr:rowOff>28575</xdr:rowOff>
                  </from>
                  <to>
                    <xdr:col>12</xdr:col>
                    <xdr:colOff>742950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7BB807-0781-427E-AF51-4AC2D682DE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Jefferies</dc:creator>
  <cp:lastModifiedBy>Alexander Jefferies</cp:lastModifiedBy>
  <dcterms:created xsi:type="dcterms:W3CDTF">2024-07-20T02:11:27Z</dcterms:created>
  <dcterms:modified xsi:type="dcterms:W3CDTF">2024-07-21T02:50:49Z</dcterms:modified>
</cp:coreProperties>
</file>